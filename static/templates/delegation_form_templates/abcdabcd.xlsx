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775"/>
  </bookViews>
  <sheets>
    <sheet name="内检" sheetId="1" r:id="rId1"/>
    <sheet name="HY(N)YQ-14-0001" sheetId="2" state="hidden" r:id="rId2"/>
  </sheets>
  <definedNames>
    <definedName name="_xlnm._FilterDatabase" localSheetId="0" hidden="1">内检!$A$1:$R$223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<sst xmlns="http://schemas.openxmlformats.org/spreadsheetml/2006/main" count="1003" uniqueCount="422">
  <si>
    <t>序号</t>
  </si>
  <si>
    <t>仪器设备名称</t>
  </si>
  <si>
    <t>规格型号</t>
  </si>
  <si>
    <t>编号</t>
  </si>
  <si>
    <t>出厂编号</t>
  </si>
  <si>
    <t>测量范围</t>
  </si>
  <si>
    <t>准确度</t>
  </si>
  <si>
    <t>制造厂商</t>
  </si>
  <si>
    <t>购置日期</t>
  </si>
  <si>
    <t>检定/校准</t>
  </si>
  <si>
    <t>计量日期</t>
  </si>
  <si>
    <t>检定单位</t>
  </si>
  <si>
    <t>证书编号</t>
  </si>
  <si>
    <t>到期日期</t>
  </si>
  <si>
    <t>放置地点</t>
  </si>
  <si>
    <t>有效期(月)</t>
  </si>
  <si>
    <t>距标定过期时间</t>
  </si>
  <si>
    <t>备注</t>
  </si>
  <si>
    <t>是否带CANS</t>
  </si>
  <si>
    <t>电动重型击实仪</t>
  </si>
  <si>
    <t>JZ-2D型</t>
  </si>
  <si>
    <t>HY(N)YQ-01-0001</t>
  </si>
  <si>
    <t>A749</t>
  </si>
  <si>
    <t>/</t>
  </si>
  <si>
    <t>绍兴市上虞区立江仪器长</t>
  </si>
  <si>
    <t>校准</t>
  </si>
  <si>
    <t>广东中诚计量检测有限公司</t>
  </si>
  <si>
    <t>土工室</t>
  </si>
  <si>
    <t>手动击实仪</t>
  </si>
  <si>
    <t>（轻型）</t>
  </si>
  <si>
    <t>HY(N)YQ-01-0002</t>
  </si>
  <si>
    <t>（重型）</t>
  </si>
  <si>
    <t>HY(N)YQ-01-0003</t>
  </si>
  <si>
    <t>数显式土壤液塑限联合测定仪</t>
  </si>
  <si>
    <t>（LG-100D）</t>
  </si>
  <si>
    <t>HY(N)YQ-01-0004</t>
  </si>
  <si>
    <t>上海路达实验仪器有限公司</t>
  </si>
  <si>
    <t>土壤密度计</t>
  </si>
  <si>
    <t>TM-85型</t>
  </si>
  <si>
    <t>HY(N)YQ-01-0031</t>
  </si>
  <si>
    <t>衡水创纪仪器仪表有限公司</t>
  </si>
  <si>
    <t>检定</t>
  </si>
  <si>
    <t/>
  </si>
  <si>
    <t>电动液压多功能脱模机</t>
  </si>
  <si>
    <t>HY(N)YQ-01-0006</t>
  </si>
  <si>
    <t>新标准土壤筛</t>
  </si>
  <si>
    <t>一套（0.075-60mm）</t>
  </si>
  <si>
    <t>HY(N)YQ-01-0009</t>
  </si>
  <si>
    <t>0.075-60mm</t>
  </si>
  <si>
    <t>浙江上虞市金鼎标准筛具厂</t>
  </si>
  <si>
    <t>震击式标准振筛机</t>
  </si>
  <si>
    <t>ZBSX-92A</t>
  </si>
  <si>
    <t>HY(N)YQ-02-0002</t>
  </si>
  <si>
    <t>已固定安装在土工室内</t>
  </si>
  <si>
    <t>箱式电阻炉</t>
  </si>
  <si>
    <t>2.5-12</t>
  </si>
  <si>
    <t>HY(N)YQ-01-0010</t>
  </si>
  <si>
    <t>温湿度计</t>
  </si>
  <si>
    <t>HTC-1</t>
  </si>
  <si>
    <t>HY(N)YQ-01-0011</t>
  </si>
  <si>
    <t>武强县北创仪器仪表厂</t>
  </si>
  <si>
    <t>电子天平</t>
  </si>
  <si>
    <t>JJ2000</t>
  </si>
  <si>
    <t>HY(N)YQ-03-0014</t>
  </si>
  <si>
    <t>2000g</t>
  </si>
  <si>
    <t>0.1g</t>
  </si>
  <si>
    <t>常熟市双杰测试仪器厂</t>
  </si>
  <si>
    <t>JJ1000</t>
  </si>
  <si>
    <t>HY(N)YQ-03-0015</t>
  </si>
  <si>
    <t>1000g</t>
  </si>
  <si>
    <t>0.01g</t>
  </si>
  <si>
    <t>沸煮箱</t>
  </si>
  <si>
    <t>FZ-31A</t>
  </si>
  <si>
    <t>HY(N)YQ-03-0002</t>
  </si>
  <si>
    <t>沙浴电炉</t>
  </si>
  <si>
    <t>DS7101</t>
  </si>
  <si>
    <t>HY(N)YQ-01-0007</t>
  </si>
  <si>
    <t>上海光地仪器设备有限公司</t>
  </si>
  <si>
    <t>集料室</t>
  </si>
  <si>
    <t>压碎指标测定仪</t>
  </si>
  <si>
    <t>φ(77×70)mm</t>
  </si>
  <si>
    <t>HY(N)YQ-02-0007</t>
  </si>
  <si>
    <t>针片状规准仪</t>
  </si>
  <si>
    <t>HY(N)YQ-02-0004</t>
  </si>
  <si>
    <t>100*100*100mm</t>
  </si>
  <si>
    <t>电热恒温干燥箱</t>
  </si>
  <si>
    <t>101-2A</t>
  </si>
  <si>
    <t>HY(N)YQ-02-0005</t>
  </si>
  <si>
    <t>50-300℃</t>
  </si>
  <si>
    <t>灌砂筒</t>
  </si>
  <si>
    <t>150mm</t>
  </si>
  <si>
    <t>HY(N)YQ-02-0006</t>
  </si>
  <si>
    <t>石粉含量亚加蓝搅拌机</t>
  </si>
  <si>
    <t>DY-YJ</t>
  </si>
  <si>
    <t>HY(N)YQ-02-0009</t>
  </si>
  <si>
    <t>石粉含量测定仪</t>
  </si>
  <si>
    <t>NSF-1</t>
  </si>
  <si>
    <t>HY(N)YQ-02-0010</t>
  </si>
  <si>
    <t>北京路工建仪器科技有限公司</t>
  </si>
  <si>
    <t>量筒</t>
  </si>
  <si>
    <t>100-1000mL EX</t>
  </si>
  <si>
    <t>HY(N)YQ-02-0011</t>
  </si>
  <si>
    <t>1000ml</t>
  </si>
  <si>
    <t>50-500mL EX</t>
  </si>
  <si>
    <t>HY(N)YQ-02-0012</t>
  </si>
  <si>
    <t>500ml</t>
  </si>
  <si>
    <t>50mlEX</t>
  </si>
  <si>
    <t>HY(N)YQ-02-0013</t>
  </si>
  <si>
    <t>50ml</t>
  </si>
  <si>
    <t>25mL EX</t>
  </si>
  <si>
    <t>HY(N)YQ-02-0014</t>
  </si>
  <si>
    <t>25ml</t>
  </si>
  <si>
    <t>10mL EX</t>
  </si>
  <si>
    <t>HY(N)YQ-02-0015</t>
  </si>
  <si>
    <t>10ml</t>
  </si>
  <si>
    <t>HY(N)YQ-02-0016</t>
  </si>
  <si>
    <t>5mL EX</t>
  </si>
  <si>
    <t>HY(N)YQ-02-0017</t>
  </si>
  <si>
    <t>5ml</t>
  </si>
  <si>
    <t>HY(N)YQ-02-0018</t>
  </si>
  <si>
    <t>量杯</t>
  </si>
  <si>
    <t>1000mL EX</t>
  </si>
  <si>
    <t>HY(N)YQ-02-0019</t>
  </si>
  <si>
    <t>HY(N)YQ-02-0020</t>
  </si>
  <si>
    <t>150mL EX</t>
  </si>
  <si>
    <t>HY(N)YQ-02-0021</t>
  </si>
  <si>
    <t>150ml</t>
  </si>
  <si>
    <t>HY(N)YQ-02-0022</t>
  </si>
  <si>
    <t>钢直尺</t>
  </si>
  <si>
    <t>50cm</t>
  </si>
  <si>
    <t>HY(N)YQ-02-0023</t>
  </si>
  <si>
    <t>0-50cm</t>
  </si>
  <si>
    <t>0.5mm</t>
  </si>
  <si>
    <t>JJ5000A</t>
  </si>
  <si>
    <t>HY(N)YQ-02-0024</t>
  </si>
  <si>
    <t>235025050065</t>
  </si>
  <si>
    <t>5-5000G</t>
  </si>
  <si>
    <t>0.1G</t>
  </si>
  <si>
    <t>HY(N)YQ-02-0025</t>
  </si>
  <si>
    <t>砂石筛</t>
  </si>
  <si>
    <t>（0.075、0.16、0.315、0.63、1.18、2.36、4.75.9.5、）mm</t>
  </si>
  <si>
    <t>HY(N)YQ-02-0001</t>
  </si>
  <si>
    <t>（0.075～9.5）mm</t>
  </si>
  <si>
    <t>上虞市金鼎标准筛具厂</t>
  </si>
  <si>
    <t>石子筛</t>
  </si>
  <si>
    <t>（10.0、16.0、20.0、25.0、31.5、40.0、50.0、80.0、100.0）mm</t>
  </si>
  <si>
    <t>HY(N)YQ-02-0003</t>
  </si>
  <si>
    <t>（10～100）mm</t>
  </si>
  <si>
    <t>石子漏斗</t>
  </si>
  <si>
    <t>HY(N)YQ-02-0026</t>
  </si>
  <si>
    <t>砂子漏斗</t>
  </si>
  <si>
    <t>HY(N)YQ-02-0027</t>
  </si>
  <si>
    <t>1L桶</t>
  </si>
  <si>
    <t>1L</t>
  </si>
  <si>
    <t>HY(N)YQ-02-0028</t>
  </si>
  <si>
    <t>5L桶</t>
  </si>
  <si>
    <t>5L</t>
  </si>
  <si>
    <t>HY(N)YQ-02-0029</t>
  </si>
  <si>
    <t>10L桶</t>
  </si>
  <si>
    <t>10L</t>
  </si>
  <si>
    <t>HY(N)YQ-02-0030</t>
  </si>
  <si>
    <t>超级低温槽</t>
  </si>
  <si>
    <t>THD-0506</t>
  </si>
  <si>
    <t>HY(N)YQ-03-0003</t>
  </si>
  <si>
    <t>水泥室</t>
  </si>
  <si>
    <t>水泥胶砂加水专用量筒</t>
  </si>
  <si>
    <t>225ml</t>
  </si>
  <si>
    <t>HY(N)YQ-03-0019</t>
  </si>
  <si>
    <t>165-225ml</t>
  </si>
  <si>
    <t>0.5ml</t>
  </si>
  <si>
    <t>HY(N)YQ-03-0020</t>
  </si>
  <si>
    <t>100ml</t>
  </si>
  <si>
    <t>HY(N)YQ-03-0021</t>
  </si>
  <si>
    <t>10-100ml</t>
  </si>
  <si>
    <t>1ml</t>
  </si>
  <si>
    <t>李氏瓶</t>
  </si>
  <si>
    <t>HY(N)YQ-03-0022</t>
  </si>
  <si>
    <t>0-24ml</t>
  </si>
  <si>
    <t>0.05ml</t>
  </si>
  <si>
    <t>HY(N)YQ-03-0023</t>
  </si>
  <si>
    <t>400ml</t>
  </si>
  <si>
    <t>HY(N)YQ-03-0024</t>
  </si>
  <si>
    <t>50-300ml</t>
  </si>
  <si>
    <t>HY(N)YQ-03-0025</t>
  </si>
  <si>
    <t>100-500ml</t>
  </si>
  <si>
    <t>水泥稠度仪圆模</t>
  </si>
  <si>
    <t>65mm*75mm*40mm</t>
  </si>
  <si>
    <t>HY(N)YQ-03-0026</t>
  </si>
  <si>
    <t>HY(N)YQ-03-0027</t>
  </si>
  <si>
    <t>秒表</t>
  </si>
  <si>
    <t>HY(N)YQ-03-0028</t>
  </si>
  <si>
    <t>高精度数显温湿表</t>
  </si>
  <si>
    <t>WSB-1型</t>
  </si>
  <si>
    <t>HY(N)YQ-03-0029</t>
  </si>
  <si>
    <t>温度-20～+60℃，湿度10%RH～99%RH</t>
  </si>
  <si>
    <t>实验电炉</t>
  </si>
  <si>
    <t>DK-98-11</t>
  </si>
  <si>
    <t>HY(N)YQ-03-0030</t>
  </si>
  <si>
    <t>负压筛</t>
  </si>
  <si>
    <t>0.045mm</t>
  </si>
  <si>
    <t>HY(N)YQ-03-0047</t>
  </si>
  <si>
    <t>0.080mm</t>
  </si>
  <si>
    <t>HY(N)YQ-03-0048</t>
  </si>
  <si>
    <t>水泥标准筛</t>
  </si>
  <si>
    <t>0.9mm</t>
  </si>
  <si>
    <t>HY(N)YQ-03-0049</t>
  </si>
  <si>
    <t>雷氏夹</t>
  </si>
  <si>
    <t>（Ф30*30）mm</t>
  </si>
  <si>
    <t>HY(N)YQ-03-0031</t>
  </si>
  <si>
    <t>HY(N)YQ-03-0032</t>
  </si>
  <si>
    <t>HY(N)YQ-03-0033</t>
  </si>
  <si>
    <t>HY(N)YQ-03-0034</t>
  </si>
  <si>
    <t>HY(N)YQ-03-0035</t>
  </si>
  <si>
    <t>HY(N)YQ-03-0036</t>
  </si>
  <si>
    <t>雷氏夹测定仪</t>
  </si>
  <si>
    <t>LD-50</t>
  </si>
  <si>
    <t>HY(N)YQ-03-0001</t>
  </si>
  <si>
    <t>恒加载水泥抗折抗压试验机</t>
  </si>
  <si>
    <t>YZH-300.10</t>
  </si>
  <si>
    <t>HY(N)YQ-03-0004</t>
  </si>
  <si>
    <t>30-300KN</t>
  </si>
  <si>
    <t>水泥胶砂搅拌机</t>
  </si>
  <si>
    <t>JJ-20HA</t>
  </si>
  <si>
    <t>HY(N)YQ-03-0005</t>
  </si>
  <si>
    <t>水泥胶砂振实台</t>
  </si>
  <si>
    <t>ZS-20HA</t>
  </si>
  <si>
    <t>HY(N)YQ-03-0006</t>
  </si>
  <si>
    <t>水泥净浆搅拌机</t>
  </si>
  <si>
    <t>NJ-160A</t>
  </si>
  <si>
    <t>HY(N)YQ-03-0007</t>
  </si>
  <si>
    <t>水泥稠度及凝结时间测定仪</t>
  </si>
  <si>
    <t>（0～70）mm</t>
  </si>
  <si>
    <t>HY(N)YQ-03-0008</t>
  </si>
  <si>
    <t>水泥胶砂流动度测定仪</t>
  </si>
  <si>
    <t>NLD-3</t>
  </si>
  <si>
    <t>HY(N)YQ-03-0009</t>
  </si>
  <si>
    <t>全自动勃氏比表面积测定仪</t>
  </si>
  <si>
    <t>FBT-9</t>
  </si>
  <si>
    <t>HY(N)YQ-03-0011</t>
  </si>
  <si>
    <t>数控水泥砼标准养护箱</t>
  </si>
  <si>
    <t>SHBY-40B</t>
  </si>
  <si>
    <t>HY(N)YQ-03-0012</t>
  </si>
  <si>
    <t>水泥细度负压筛析仪</t>
  </si>
  <si>
    <t>FYS-150</t>
  </si>
  <si>
    <t>HY(N)YQ-03-0013</t>
  </si>
  <si>
    <t>FA1004N</t>
  </si>
  <si>
    <t>HY(N)YQ-03-0010</t>
  </si>
  <si>
    <t>100g</t>
  </si>
  <si>
    <t>0.1mg</t>
  </si>
  <si>
    <t>陶瓷坩埚</t>
  </si>
  <si>
    <t>HY(N)YQ-03-0037</t>
  </si>
  <si>
    <t>HY(N)YQ-03-0038</t>
  </si>
  <si>
    <t>HY(N)YQ-03-0039</t>
  </si>
  <si>
    <t>HY(N)YQ-03-0040</t>
  </si>
  <si>
    <t>塑料试模</t>
  </si>
  <si>
    <t>HY(N)YQ-03-0041</t>
  </si>
  <si>
    <t>水银温度计</t>
  </si>
  <si>
    <t>HY(N)YQ-03-0042</t>
  </si>
  <si>
    <t>50℃</t>
  </si>
  <si>
    <t>HY(N)YQ-03-0043</t>
  </si>
  <si>
    <t>HY(N)YQ-03-0044</t>
  </si>
  <si>
    <t>200℃</t>
  </si>
  <si>
    <t>HY(N)YQ-03-0045</t>
  </si>
  <si>
    <t>300℃</t>
  </si>
  <si>
    <t>HY(N)YQ-03-0046</t>
  </si>
  <si>
    <t>水泥净浆加水器</t>
  </si>
  <si>
    <t>HY(N)YQ-03-0050</t>
  </si>
  <si>
    <t>手动相对密度仪</t>
  </si>
  <si>
    <t>（XD-1）</t>
  </si>
  <si>
    <t>HY(N)YQ-01-0005</t>
  </si>
  <si>
    <t>配合比室</t>
  </si>
  <si>
    <t>保水率试模</t>
  </si>
  <si>
    <t>HY(N)YQ-02-0031</t>
  </si>
  <si>
    <t>电子台秤</t>
  </si>
  <si>
    <t>TCS-01R</t>
  </si>
  <si>
    <t>HY(N)YQ-02-0008</t>
  </si>
  <si>
    <t>0.01kg</t>
  </si>
  <si>
    <t>厦门佰伦斯电子科技有限公司</t>
  </si>
  <si>
    <t>BH-15</t>
  </si>
  <si>
    <t>HY(N)YQ-04-0013</t>
  </si>
  <si>
    <t>10g-15kg</t>
  </si>
  <si>
    <t>0.5g</t>
  </si>
  <si>
    <t>HY(N)YQ-04-0014</t>
  </si>
  <si>
    <t>HY(N)YQ-04-0015</t>
  </si>
  <si>
    <t>新标准方孔石子筛</t>
  </si>
  <si>
    <t>5mm</t>
  </si>
  <si>
    <t>HY(N)YQ-04-0016</t>
  </si>
  <si>
    <t>60cm</t>
  </si>
  <si>
    <t>HY(N)YQ-04-0017</t>
  </si>
  <si>
    <t>0-60cm</t>
  </si>
  <si>
    <t>1mm</t>
  </si>
  <si>
    <t>空气压缩机</t>
  </si>
  <si>
    <t>ZBM-0.1/8型</t>
  </si>
  <si>
    <t>HY(N)YQ-04-0018</t>
  </si>
  <si>
    <t>震动台</t>
  </si>
  <si>
    <t>1000×1000mm</t>
  </si>
  <si>
    <t>HY(N)YQ-04-0001</t>
  </si>
  <si>
    <t>强制式单卧轴混凝土搅拌机</t>
  </si>
  <si>
    <t>SJD-60</t>
  </si>
  <si>
    <t>HY(N)YQ-04-0002</t>
  </si>
  <si>
    <t>坍塌度筒</t>
  </si>
  <si>
    <t>HY(N)YQ-04-0003</t>
  </si>
  <si>
    <t>数显混凝土贯入阻力仪</t>
  </si>
  <si>
    <t>ZC-1A</t>
  </si>
  <si>
    <t>HY(N)YQ-04-0004</t>
  </si>
  <si>
    <t>混凝土含气量测定仪</t>
  </si>
  <si>
    <t>CA-3</t>
  </si>
  <si>
    <t>HY(N)YQ-04-0005</t>
  </si>
  <si>
    <t>砂浆搅拌机</t>
  </si>
  <si>
    <t>UJZ-15</t>
  </si>
  <si>
    <t>HY(N)YQ-04-0006</t>
  </si>
  <si>
    <t>砂浆稠度仪</t>
  </si>
  <si>
    <t>SC-145</t>
  </si>
  <si>
    <t>HY(N)YQ-04-0007</t>
  </si>
  <si>
    <t>砂浆分层测定仪</t>
  </si>
  <si>
    <t>HY(N)YQ-04-0008</t>
  </si>
  <si>
    <t>绍兴市上虞区立江仪器厂</t>
  </si>
  <si>
    <t>工程塑料试模</t>
  </si>
  <si>
    <t>φ175*185*150</t>
  </si>
  <si>
    <t>HY(N)YQ-04-0009</t>
  </si>
  <si>
    <t>河北北方建筑仪器制造有限公司</t>
  </si>
  <si>
    <t>150*150*550</t>
  </si>
  <si>
    <t>HY(N)YQ-04-0011</t>
  </si>
  <si>
    <t>150*150*150</t>
  </si>
  <si>
    <t>HY(N)YQ-04-0012</t>
  </si>
  <si>
    <t>混凝土抗渗仪</t>
  </si>
  <si>
    <t>HP-4.0</t>
  </si>
  <si>
    <t>HY(N)YQ-04-0010</t>
  </si>
  <si>
    <t>力学室</t>
  </si>
  <si>
    <t>新标准连续式标点机</t>
  </si>
  <si>
    <t>XLB-2型</t>
  </si>
  <si>
    <t>HY(N)YQ-07-0001</t>
  </si>
  <si>
    <t>电动钢筋打点机器</t>
  </si>
  <si>
    <t>DBJ-1</t>
  </si>
  <si>
    <t>HY(N)YQ-07-0002</t>
  </si>
  <si>
    <t>微机控制电液伺服万能试验机</t>
  </si>
  <si>
    <t>WAW-300B</t>
  </si>
  <si>
    <t>HY(N)YQ-07-0003</t>
  </si>
  <si>
    <t>Z210810A1</t>
  </si>
  <si>
    <t>300kN</t>
  </si>
  <si>
    <t>济南鑫光试验机制造有限公司</t>
  </si>
  <si>
    <t>WAW-600B</t>
  </si>
  <si>
    <t>HY(N)YQ-07-0004</t>
  </si>
  <si>
    <t>Z210810A2</t>
  </si>
  <si>
    <t>600kN</t>
  </si>
  <si>
    <t>WAW-1000B</t>
  </si>
  <si>
    <t>HY(N)YQ-07-0005</t>
  </si>
  <si>
    <t>Z210810A3</t>
  </si>
  <si>
    <t>1000kN</t>
  </si>
  <si>
    <t>钢筋弯曲机</t>
  </si>
  <si>
    <t>GW-40C</t>
  </si>
  <si>
    <t>HY(N)YQ-07-0006</t>
  </si>
  <si>
    <t>Z210728A7</t>
  </si>
  <si>
    <t>6-40</t>
  </si>
  <si>
    <t>钢筋残余变形测试仪</t>
  </si>
  <si>
    <t>CBC4320</t>
  </si>
  <si>
    <t>HY(N)YQ-07-0007</t>
  </si>
  <si>
    <t>2107019/020</t>
  </si>
  <si>
    <t>长春创元测试设备有限公司</t>
  </si>
  <si>
    <t>恒加载压力试验机</t>
  </si>
  <si>
    <t>TSY-2000A</t>
  </si>
  <si>
    <t>HY(N)YQ-07-0008</t>
  </si>
  <si>
    <t>200-2000kn</t>
  </si>
  <si>
    <t>浙江路达机械仪器有限公司</t>
  </si>
  <si>
    <t>数显卡尺</t>
  </si>
  <si>
    <t>0～300mm</t>
  </si>
  <si>
    <t>HY(N)YQ-07-0021</t>
  </si>
  <si>
    <t>桂林量具刃具有限责任公司</t>
  </si>
  <si>
    <t>游标卡尺</t>
  </si>
  <si>
    <t>HY(N)YQ-07-0010</t>
  </si>
  <si>
    <t>钢尺</t>
  </si>
  <si>
    <t>1000mm</t>
  </si>
  <si>
    <t>HY(N)YQ-07-0011</t>
  </si>
  <si>
    <t>0-1000mm</t>
  </si>
  <si>
    <t>曙光工量具厂</t>
  </si>
  <si>
    <t>塞尺</t>
  </si>
  <si>
    <t>DL9502</t>
  </si>
  <si>
    <t>HY(N)YQ-07-0012</t>
  </si>
  <si>
    <t>0.02-1.00mm</t>
  </si>
  <si>
    <t>直角尺</t>
  </si>
  <si>
    <t>HY(N)YQ-07-0013</t>
  </si>
  <si>
    <t>1-300mm</t>
  </si>
  <si>
    <t>引伸计</t>
  </si>
  <si>
    <t>YSJ250-5</t>
  </si>
  <si>
    <t>HY(N)YQ-07-0014</t>
  </si>
  <si>
    <t>JEA4001</t>
  </si>
  <si>
    <t>HY(N)YQ-07-0015</t>
  </si>
  <si>
    <t>4000G</t>
  </si>
  <si>
    <t>HY(N)YQ-07-0016</t>
  </si>
  <si>
    <t>2000G</t>
  </si>
  <si>
    <t>HY(N)YQ-07-0017</t>
  </si>
  <si>
    <t>1000G</t>
  </si>
  <si>
    <t>0.01G</t>
  </si>
  <si>
    <t>HZQ-A20</t>
  </si>
  <si>
    <t>HY(N)YQ-07-0018</t>
  </si>
  <si>
    <t>20KG</t>
  </si>
  <si>
    <t>大称量电子天平</t>
  </si>
  <si>
    <t>JS15-01</t>
  </si>
  <si>
    <t>HY(N)YQ-07-0019</t>
  </si>
  <si>
    <t>15KG</t>
  </si>
  <si>
    <t>电子计重称</t>
  </si>
  <si>
    <t>JSB30-05</t>
  </si>
  <si>
    <t>HY(N)YQ-07-0009</t>
  </si>
  <si>
    <t>30KG</t>
  </si>
  <si>
    <t>0.5G</t>
  </si>
  <si>
    <t>TC10K-H</t>
  </si>
  <si>
    <t>HY(N)YQ-07-0020</t>
  </si>
  <si>
    <t>10KG</t>
  </si>
  <si>
    <t>1G</t>
  </si>
  <si>
    <t>标养室自动控制仪</t>
  </si>
  <si>
    <t>BYS-III型</t>
  </si>
  <si>
    <t>HY(N)YQ-13-0001</t>
  </si>
  <si>
    <t>养护室</t>
  </si>
  <si>
    <t>雾化加湿器</t>
  </si>
  <si>
    <t>HY(N)YQ-13-0002</t>
  </si>
  <si>
    <t>HY(N)YQ-14-0001</t>
  </si>
  <si>
    <t>留样室</t>
  </si>
  <si>
    <t>EX 5ml</t>
  </si>
  <si>
    <t>单标移液管</t>
  </si>
  <si>
    <t>EX 2ml</t>
  </si>
  <si>
    <t>2ml</t>
  </si>
  <si>
    <t>刻度移液管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</si>
</sst>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yyyy/mm/dd"/>
  </numFmts>
  <fonts count="24">
    <font>
      <sz val="11"/>
      <color theme="1"/>
      <name val="宋体"/>
      <charset val="134"/>
      <scheme val="minor"/>
    </font>
    <font>
      <sz val="9"/>
      <name val="宋体"/>
      <charset val="134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 wrapText="1"/>
    </xf>
    <xf numFmtId="31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T223"/>
  <sheetViews>
    <sheetView tabSelected="1" zoomScale="85" zoomScaleNormal="85" topLeftCell="B1" workbookViewId="0">
      <pane ySplit="1" topLeftCell="A18" activePane="bottomLeft" state="frozen"/>
      <selection/>
      <selection pane="bottomLeft" activeCell="G64" sqref="G64"/>
    </sheetView>
  </sheetViews>
  <sheetFormatPr defaultColWidth="9" defaultRowHeight="13.5"/>
  <cols>
    <col min="1" max="1" width="4.775" style="2" customWidth="1"/>
    <col min="2" max="2" width="29.8916666666667" style="2" customWidth="1"/>
    <col min="3" max="3" width="27.7166666666667" style="2" customWidth="1"/>
    <col min="4" max="4" width="24.3166666666667" style="9" customWidth="1"/>
    <col min="5" max="5" width="14.1083333333333" style="2" customWidth="1"/>
    <col min="6" max="6" width="20.65" style="2" customWidth="1"/>
    <col min="7" max="7" width="8.66666666666667" style="2" customWidth="1"/>
    <col min="8" max="8" width="32.1083333333333" style="2" customWidth="1"/>
    <col min="9" max="9" width="11.8916666666667" style="2" customWidth="1"/>
    <col min="10" max="10" width="10.8416666666667" style="2" customWidth="1"/>
    <col min="11" max="11" width="15.225" style="2" customWidth="1"/>
    <col min="12" max="12" width="27.6666666666667" style="2" customWidth="1"/>
    <col min="13" max="13" width="8.775" style="2" customWidth="1"/>
    <col min="14" max="14" width="15.225" style="7" customWidth="1"/>
    <col min="15" max="15" width="9.66666666666667" style="2" customWidth="1"/>
    <col min="16" max="16" width="14.9083333333333" style="2" customWidth="1"/>
    <col min="17" max="17" width="8.89166666666667" style="2" customWidth="1"/>
    <col min="18" max="19" width="17.5583333333333" style="2" customWidth="1"/>
    <col min="20" max="20" width="23.1083333333333" style="2" customWidth="1"/>
    <col min="21" max="16384" width="9" style="2"/>
  </cols>
  <sheetData>
    <row r="1" ht="41.25" customHeight="1" spans="1:19">
      <c r="A1" s="11" t="s">
        <v>0</v>
      </c>
      <c r="B1" s="11" t="s">
        <v>1</v>
      </c>
      <c r="C1" s="12" t="s">
        <v>2</v>
      </c>
      <c r="D1" s="13" t="s">
        <v>3</v>
      </c>
      <c r="E1" s="12" t="s">
        <v>4</v>
      </c>
      <c r="F1" s="11" t="s">
        <v>5</v>
      </c>
      <c r="G1" s="11" t="s">
        <v>6</v>
      </c>
      <c r="H1" s="11" t="s">
        <v>7</v>
      </c>
      <c r="I1" s="16" t="s">
        <v>8</v>
      </c>
      <c r="J1" s="11" t="s">
        <v>9</v>
      </c>
      <c r="K1" s="16" t="s">
        <v>10</v>
      </c>
      <c r="L1" s="11" t="s">
        <v>11</v>
      </c>
      <c r="M1" s="11" t="s">
        <v>12</v>
      </c>
      <c r="N1" s="16" t="s">
        <v>13</v>
      </c>
      <c r="O1" s="11" t="s">
        <v>14</v>
      </c>
      <c r="P1" s="11" t="s">
        <v>15</v>
      </c>
      <c r="Q1" s="18" t="s">
        <v>16</v>
      </c>
      <c r="R1" s="11" t="s">
        <v>17</v>
      </c>
      <c r="S1" s="11" t="s">
        <v>18</v>
      </c>
    </row>
    <row r="2" spans="1:17">
      <c r="A2" s="4">
        <v>1</v>
      </c>
      <c r="B2" s="2" t="s">
        <v>19</v>
      </c>
      <c r="C2" s="2" t="s">
        <v>20</v>
      </c>
      <c r="D2" s="5" t="s">
        <v>21</v>
      </c>
      <c r="E2" s="2" t="s">
        <v>22</v>
      </c>
      <c r="F2" s="2" t="s">
        <v>23</v>
      </c>
      <c r="G2" s="2" t="s">
        <v>23</v>
      </c>
      <c r="H2" s="2" t="s">
        <v>24</v>
      </c>
      <c r="J2" s="2" t="s">
        <v>25</v>
      </c>
      <c r="K2" s="17">
        <v>45834</v>
      </c>
      <c r="L2" s="2" t="s">
        <v>26</v>
      </c>
      <c r="N2" s="7">
        <f>IF(K2="","",EDATE(K2,P2)-1)</f>
        <v>46198</v>
      </c>
      <c r="O2" s="2" t="s">
        <v>27</v>
      </c>
      <c r="P2" s="2">
        <v>12</v>
      </c>
      <c r="Q2" s="2">
        <f ca="1">IF(OR(N2="/",N2=""),"/",N2-TODAY())</f>
        <v>232</v>
      </c>
    </row>
    <row r="3" spans="1:17">
      <c r="A3" s="4">
        <v>2</v>
      </c>
      <c r="B3" s="2" t="s">
        <v>28</v>
      </c>
      <c r="C3" s="2" t="s">
        <v>29</v>
      </c>
      <c r="D3" s="5" t="s">
        <v>30</v>
      </c>
      <c r="F3" s="2" t="s">
        <v>23</v>
      </c>
      <c r="G3" s="2" t="s">
        <v>23</v>
      </c>
      <c r="J3" s="2" t="s">
        <v>25</v>
      </c>
      <c r="K3" s="17">
        <v>45834</v>
      </c>
      <c r="L3" s="2" t="s">
        <v>26</v>
      </c>
      <c r="N3" s="7">
        <f t="shared" ref="N3:N66" si="0">IF(K3="","",EDATE(K3,P3)-1)</f>
        <v>46198</v>
      </c>
      <c r="O3" s="2" t="s">
        <v>27</v>
      </c>
      <c r="P3" s="2">
        <v>12</v>
      </c>
      <c r="Q3" s="2">
        <f ca="1" t="shared" ref="Q3:Q66" si="1">IF(OR(N3="/",N3=""),"/",N3-TODAY())</f>
        <v>232</v>
      </c>
    </row>
    <row r="4" spans="1:17">
      <c r="A4" s="4">
        <v>3</v>
      </c>
      <c r="B4" s="2" t="s">
        <v>28</v>
      </c>
      <c r="C4" s="2" t="s">
        <v>31</v>
      </c>
      <c r="D4" s="5" t="s">
        <v>32</v>
      </c>
      <c r="F4" s="2" t="s">
        <v>23</v>
      </c>
      <c r="G4" s="2" t="s">
        <v>23</v>
      </c>
      <c r="J4" s="2" t="s">
        <v>25</v>
      </c>
      <c r="K4" s="17">
        <v>45834</v>
      </c>
      <c r="L4" s="2" t="s">
        <v>26</v>
      </c>
      <c r="N4" s="7">
        <f t="shared" si="0"/>
        <v>46198</v>
      </c>
      <c r="O4" s="2" t="s">
        <v>27</v>
      </c>
      <c r="P4" s="2">
        <v>12</v>
      </c>
      <c r="Q4" s="2">
        <f ca="1" t="shared" si="1"/>
        <v>232</v>
      </c>
    </row>
    <row r="5" spans="1:17">
      <c r="A5" s="4">
        <v>4</v>
      </c>
      <c r="B5" s="2" t="s">
        <v>33</v>
      </c>
      <c r="C5" s="2" t="s">
        <v>34</v>
      </c>
      <c r="D5" s="5" t="s">
        <v>35</v>
      </c>
      <c r="F5" s="2" t="s">
        <v>23</v>
      </c>
      <c r="G5" s="2" t="s">
        <v>23</v>
      </c>
      <c r="H5" s="2" t="s">
        <v>36</v>
      </c>
      <c r="J5" s="2" t="s">
        <v>25</v>
      </c>
      <c r="K5" s="17">
        <v>45834</v>
      </c>
      <c r="L5" s="2" t="s">
        <v>26</v>
      </c>
      <c r="N5" s="7">
        <f t="shared" si="0"/>
        <v>46198</v>
      </c>
      <c r="O5" s="2" t="s">
        <v>27</v>
      </c>
      <c r="P5" s="2">
        <v>12</v>
      </c>
      <c r="Q5" s="2">
        <f ca="1" t="shared" si="1"/>
        <v>232</v>
      </c>
    </row>
    <row r="6" spans="1:17">
      <c r="A6" s="4">
        <v>5</v>
      </c>
      <c r="B6" s="2" t="s">
        <v>37</v>
      </c>
      <c r="C6" s="2" t="s">
        <v>38</v>
      </c>
      <c r="D6" s="5" t="s">
        <v>39</v>
      </c>
      <c r="H6" s="2" t="s">
        <v>40</v>
      </c>
      <c r="J6" s="2" t="s">
        <v>41</v>
      </c>
      <c r="K6" s="17"/>
      <c r="L6" s="2" t="s">
        <v>42</v>
      </c>
      <c r="N6" s="7" t="str">
        <f t="shared" si="0"/>
        <v/>
      </c>
      <c r="O6" s="2" t="s">
        <v>27</v>
      </c>
      <c r="Q6" s="2" t="str">
        <f ca="1" t="shared" si="1"/>
        <v>/</v>
      </c>
    </row>
    <row r="7" spans="1:17">
      <c r="A7" s="4">
        <v>6</v>
      </c>
      <c r="B7" s="2" t="s">
        <v>43</v>
      </c>
      <c r="D7" s="5" t="s">
        <v>44</v>
      </c>
      <c r="E7" s="2">
        <v>21809</v>
      </c>
      <c r="G7" s="2" t="s">
        <v>23</v>
      </c>
      <c r="H7" s="2" t="s">
        <v>36</v>
      </c>
      <c r="J7" s="2" t="s">
        <v>25</v>
      </c>
      <c r="K7" s="17">
        <v>45834</v>
      </c>
      <c r="L7" s="2" t="s">
        <v>26</v>
      </c>
      <c r="N7" s="7">
        <f t="shared" si="0"/>
        <v>46198</v>
      </c>
      <c r="O7" s="2" t="s">
        <v>27</v>
      </c>
      <c r="P7" s="2">
        <v>12</v>
      </c>
      <c r="Q7" s="2">
        <f ca="1" t="shared" si="1"/>
        <v>232</v>
      </c>
    </row>
    <row r="8" spans="1:17">
      <c r="A8" s="4">
        <v>7</v>
      </c>
      <c r="B8" s="2" t="s">
        <v>45</v>
      </c>
      <c r="C8" s="2" t="s">
        <v>46</v>
      </c>
      <c r="D8" s="5" t="s">
        <v>47</v>
      </c>
      <c r="F8" s="2" t="s">
        <v>48</v>
      </c>
      <c r="G8" s="2" t="s">
        <v>23</v>
      </c>
      <c r="H8" s="2" t="s">
        <v>49</v>
      </c>
      <c r="J8" s="2" t="s">
        <v>41</v>
      </c>
      <c r="K8" s="17">
        <v>45835</v>
      </c>
      <c r="L8" s="2" t="s">
        <v>26</v>
      </c>
      <c r="N8" s="7">
        <f t="shared" si="0"/>
        <v>46199</v>
      </c>
      <c r="O8" s="2" t="s">
        <v>27</v>
      </c>
      <c r="P8" s="2">
        <v>12</v>
      </c>
      <c r="Q8" s="2">
        <f ca="1" t="shared" si="1"/>
        <v>233</v>
      </c>
    </row>
    <row r="9" s="8" customFormat="1" spans="1:20">
      <c r="A9" s="4">
        <v>8</v>
      </c>
      <c r="B9" s="14" t="s">
        <v>50</v>
      </c>
      <c r="C9" s="8" t="s">
        <v>51</v>
      </c>
      <c r="D9" s="5" t="s">
        <v>52</v>
      </c>
      <c r="F9" s="8" t="s">
        <v>23</v>
      </c>
      <c r="G9" s="8" t="s">
        <v>23</v>
      </c>
      <c r="H9" s="8" t="s">
        <v>24</v>
      </c>
      <c r="J9" s="2" t="s">
        <v>25</v>
      </c>
      <c r="K9" s="17">
        <v>45834</v>
      </c>
      <c r="L9" s="8" t="s">
        <v>26</v>
      </c>
      <c r="N9" s="7">
        <f t="shared" si="0"/>
        <v>46198</v>
      </c>
      <c r="O9" s="8" t="s">
        <v>27</v>
      </c>
      <c r="P9" s="2">
        <v>12</v>
      </c>
      <c r="Q9" s="2">
        <f ca="1" t="shared" si="1"/>
        <v>232</v>
      </c>
      <c r="T9" s="19" t="s">
        <v>53</v>
      </c>
    </row>
    <row r="10" spans="1:17">
      <c r="A10" s="4">
        <v>9</v>
      </c>
      <c r="B10" s="2" t="s">
        <v>54</v>
      </c>
      <c r="C10" s="2" t="s">
        <v>55</v>
      </c>
      <c r="D10" s="5" t="s">
        <v>56</v>
      </c>
      <c r="E10" s="2">
        <v>210903</v>
      </c>
      <c r="F10" s="2" t="s">
        <v>23</v>
      </c>
      <c r="G10" s="2" t="s">
        <v>23</v>
      </c>
      <c r="H10" s="2" t="s">
        <v>36</v>
      </c>
      <c r="J10" s="2" t="s">
        <v>25</v>
      </c>
      <c r="K10" s="17"/>
      <c r="L10" s="2" t="s">
        <v>42</v>
      </c>
      <c r="N10" s="7" t="str">
        <f t="shared" si="0"/>
        <v/>
      </c>
      <c r="O10" s="2" t="s">
        <v>27</v>
      </c>
      <c r="P10" s="2">
        <v>12</v>
      </c>
      <c r="Q10" s="2" t="str">
        <f ca="1" t="shared" si="1"/>
        <v>/</v>
      </c>
    </row>
    <row r="11" spans="1:17">
      <c r="A11" s="4">
        <v>10</v>
      </c>
      <c r="B11" s="2" t="s">
        <v>57</v>
      </c>
      <c r="C11" s="2" t="s">
        <v>58</v>
      </c>
      <c r="D11" s="5" t="s">
        <v>59</v>
      </c>
      <c r="H11" s="2" t="s">
        <v>60</v>
      </c>
      <c r="J11" s="2" t="s">
        <v>25</v>
      </c>
      <c r="K11" s="17"/>
      <c r="L11" s="2" t="s">
        <v>42</v>
      </c>
      <c r="N11" s="7" t="str">
        <f t="shared" si="0"/>
        <v/>
      </c>
      <c r="O11" s="2" t="s">
        <v>27</v>
      </c>
      <c r="P11" s="2">
        <v>12</v>
      </c>
      <c r="Q11" s="2" t="str">
        <f ca="1" t="shared" si="1"/>
        <v>/</v>
      </c>
    </row>
    <row r="12" spans="1:17">
      <c r="A12" s="4">
        <v>11</v>
      </c>
      <c r="B12" s="2" t="s">
        <v>61</v>
      </c>
      <c r="C12" s="2" t="s">
        <v>62</v>
      </c>
      <c r="D12" s="5" t="s">
        <v>63</v>
      </c>
      <c r="F12" s="2" t="s">
        <v>64</v>
      </c>
      <c r="G12" s="2" t="s">
        <v>65</v>
      </c>
      <c r="H12" s="2" t="s">
        <v>66</v>
      </c>
      <c r="J12" s="2" t="s">
        <v>41</v>
      </c>
      <c r="K12" s="17">
        <v>45834</v>
      </c>
      <c r="L12" s="2" t="s">
        <v>26</v>
      </c>
      <c r="N12" s="7">
        <f t="shared" si="0"/>
        <v>46198</v>
      </c>
      <c r="O12" s="2" t="s">
        <v>27</v>
      </c>
      <c r="P12" s="2">
        <v>12</v>
      </c>
      <c r="Q12" s="2">
        <f ca="1" t="shared" si="1"/>
        <v>232</v>
      </c>
    </row>
    <row r="13" spans="1:17">
      <c r="A13" s="4">
        <v>12</v>
      </c>
      <c r="B13" s="2" t="s">
        <v>61</v>
      </c>
      <c r="C13" s="2" t="s">
        <v>67</v>
      </c>
      <c r="D13" s="5" t="s">
        <v>68</v>
      </c>
      <c r="F13" s="2" t="s">
        <v>69</v>
      </c>
      <c r="G13" s="2" t="s">
        <v>70</v>
      </c>
      <c r="J13" s="2" t="s">
        <v>41</v>
      </c>
      <c r="K13" s="17">
        <v>45834</v>
      </c>
      <c r="L13" s="2" t="s">
        <v>26</v>
      </c>
      <c r="N13" s="7">
        <f t="shared" si="0"/>
        <v>46198</v>
      </c>
      <c r="O13" s="2" t="s">
        <v>27</v>
      </c>
      <c r="P13" s="2">
        <v>12</v>
      </c>
      <c r="Q13" s="2">
        <f ca="1" t="shared" si="1"/>
        <v>232</v>
      </c>
    </row>
    <row r="14" ht="14.25" spans="1:17">
      <c r="A14" s="4">
        <v>13</v>
      </c>
      <c r="B14" s="2" t="s">
        <v>71</v>
      </c>
      <c r="C14" s="2" t="s">
        <v>72</v>
      </c>
      <c r="D14" s="5" t="s">
        <v>73</v>
      </c>
      <c r="F14" s="2" t="s">
        <v>23</v>
      </c>
      <c r="G14" s="2" t="s">
        <v>23</v>
      </c>
      <c r="J14" s="2" t="s">
        <v>25</v>
      </c>
      <c r="K14" s="17">
        <v>45834</v>
      </c>
      <c r="L14" s="2" t="s">
        <v>26</v>
      </c>
      <c r="N14" s="7">
        <f t="shared" si="0"/>
        <v>46198</v>
      </c>
      <c r="O14" s="2" t="s">
        <v>27</v>
      </c>
      <c r="P14" s="2">
        <v>12</v>
      </c>
      <c r="Q14" s="2">
        <f ca="1" t="shared" si="1"/>
        <v>232</v>
      </c>
    </row>
    <row r="15" s="1" customFormat="1" ht="14.25" spans="1:17">
      <c r="A15" s="3">
        <v>14</v>
      </c>
      <c r="B15" s="1" t="s">
        <v>74</v>
      </c>
      <c r="C15" s="1" t="s">
        <v>75</v>
      </c>
      <c r="D15" s="3" t="s">
        <v>76</v>
      </c>
      <c r="E15" s="1">
        <v>3221</v>
      </c>
      <c r="F15" s="1" t="s">
        <v>23</v>
      </c>
      <c r="G15" s="1" t="s">
        <v>23</v>
      </c>
      <c r="H15" s="1" t="s">
        <v>77</v>
      </c>
      <c r="J15" s="2" t="s">
        <v>25</v>
      </c>
      <c r="K15" s="17">
        <v>45834</v>
      </c>
      <c r="L15" s="1" t="s">
        <v>26</v>
      </c>
      <c r="N15" s="7">
        <f t="shared" si="0"/>
        <v>46198</v>
      </c>
      <c r="O15" s="1" t="s">
        <v>78</v>
      </c>
      <c r="P15" s="2">
        <v>12</v>
      </c>
      <c r="Q15" s="2">
        <f ca="1" t="shared" si="1"/>
        <v>232</v>
      </c>
    </row>
    <row r="16" spans="1:17">
      <c r="A16" s="4">
        <v>15</v>
      </c>
      <c r="B16" s="8" t="s">
        <v>79</v>
      </c>
      <c r="C16" s="8" t="s">
        <v>80</v>
      </c>
      <c r="D16" s="5" t="s">
        <v>81</v>
      </c>
      <c r="E16" s="8"/>
      <c r="F16" s="8" t="s">
        <v>23</v>
      </c>
      <c r="G16" s="8" t="s">
        <v>23</v>
      </c>
      <c r="H16" s="8"/>
      <c r="I16" s="8"/>
      <c r="J16" s="2" t="s">
        <v>25</v>
      </c>
      <c r="K16" s="17">
        <v>45834</v>
      </c>
      <c r="L16" s="8" t="s">
        <v>26</v>
      </c>
      <c r="M16" s="8"/>
      <c r="N16" s="7">
        <f t="shared" si="0"/>
        <v>46198</v>
      </c>
      <c r="O16" s="2" t="s">
        <v>78</v>
      </c>
      <c r="P16" s="2">
        <v>12</v>
      </c>
      <c r="Q16" s="2">
        <f ca="1" t="shared" si="1"/>
        <v>232</v>
      </c>
    </row>
    <row r="17" spans="1:17">
      <c r="A17" s="4">
        <v>16</v>
      </c>
      <c r="B17" s="2" t="s">
        <v>82</v>
      </c>
      <c r="D17" s="5" t="s">
        <v>83</v>
      </c>
      <c r="F17" s="2" t="s">
        <v>84</v>
      </c>
      <c r="G17" s="2" t="s">
        <v>23</v>
      </c>
      <c r="J17" s="2" t="s">
        <v>25</v>
      </c>
      <c r="K17" s="17">
        <v>45834</v>
      </c>
      <c r="L17" s="2" t="s">
        <v>26</v>
      </c>
      <c r="N17" s="7">
        <f t="shared" si="0"/>
        <v>46198</v>
      </c>
      <c r="O17" s="2" t="s">
        <v>78</v>
      </c>
      <c r="P17" s="2">
        <v>12</v>
      </c>
      <c r="Q17" s="2">
        <f ca="1" t="shared" si="1"/>
        <v>232</v>
      </c>
    </row>
    <row r="18" spans="1:17">
      <c r="A18" s="4">
        <v>17</v>
      </c>
      <c r="B18" s="2" t="s">
        <v>85</v>
      </c>
      <c r="C18" s="2" t="s">
        <v>86</v>
      </c>
      <c r="D18" s="5" t="s">
        <v>87</v>
      </c>
      <c r="E18" s="2">
        <v>21535</v>
      </c>
      <c r="F18" s="2" t="s">
        <v>88</v>
      </c>
      <c r="G18" s="2" t="s">
        <v>23</v>
      </c>
      <c r="H18" s="2" t="s">
        <v>36</v>
      </c>
      <c r="J18" s="2" t="s">
        <v>25</v>
      </c>
      <c r="K18" s="17">
        <v>45834</v>
      </c>
      <c r="L18" s="2" t="s">
        <v>26</v>
      </c>
      <c r="N18" s="7">
        <f t="shared" si="0"/>
        <v>46198</v>
      </c>
      <c r="O18" s="2" t="s">
        <v>78</v>
      </c>
      <c r="P18" s="2">
        <v>12</v>
      </c>
      <c r="Q18" s="2">
        <f ca="1" t="shared" si="1"/>
        <v>232</v>
      </c>
    </row>
    <row r="19" spans="1:17">
      <c r="A19" s="4">
        <v>18</v>
      </c>
      <c r="B19" s="8" t="s">
        <v>89</v>
      </c>
      <c r="C19" s="2" t="s">
        <v>90</v>
      </c>
      <c r="D19" s="5" t="s">
        <v>91</v>
      </c>
      <c r="F19" s="2" t="s">
        <v>23</v>
      </c>
      <c r="G19" s="2" t="s">
        <v>23</v>
      </c>
      <c r="J19" s="2" t="s">
        <v>25</v>
      </c>
      <c r="K19" s="17">
        <v>45834</v>
      </c>
      <c r="L19" s="2" t="s">
        <v>26</v>
      </c>
      <c r="N19" s="7">
        <f t="shared" si="0"/>
        <v>46198</v>
      </c>
      <c r="O19" s="2" t="s">
        <v>78</v>
      </c>
      <c r="P19" s="2">
        <v>12</v>
      </c>
      <c r="Q19" s="2">
        <f ca="1" t="shared" si="1"/>
        <v>232</v>
      </c>
    </row>
    <row r="20" spans="1:17">
      <c r="A20" s="4">
        <v>19</v>
      </c>
      <c r="B20" s="2" t="s">
        <v>92</v>
      </c>
      <c r="C20" s="2" t="s">
        <v>93</v>
      </c>
      <c r="D20" s="5" t="s">
        <v>94</v>
      </c>
      <c r="F20" s="2" t="s">
        <v>23</v>
      </c>
      <c r="G20" s="2" t="s">
        <v>23</v>
      </c>
      <c r="J20" s="2" t="s">
        <v>25</v>
      </c>
      <c r="K20" s="17">
        <v>45834</v>
      </c>
      <c r="L20" s="2" t="s">
        <v>26</v>
      </c>
      <c r="N20" s="7">
        <f t="shared" si="0"/>
        <v>46198</v>
      </c>
      <c r="O20" s="2" t="s">
        <v>78</v>
      </c>
      <c r="P20" s="2">
        <v>12</v>
      </c>
      <c r="Q20" s="2">
        <f ca="1" t="shared" si="1"/>
        <v>232</v>
      </c>
    </row>
    <row r="21" spans="1:17">
      <c r="A21" s="4">
        <v>20</v>
      </c>
      <c r="B21" s="2" t="s">
        <v>95</v>
      </c>
      <c r="C21" s="2" t="s">
        <v>96</v>
      </c>
      <c r="D21" s="5" t="s">
        <v>97</v>
      </c>
      <c r="E21" s="2">
        <v>250400469</v>
      </c>
      <c r="H21" s="2" t="s">
        <v>98</v>
      </c>
      <c r="J21" s="2" t="s">
        <v>25</v>
      </c>
      <c r="K21" s="17"/>
      <c r="L21" s="2" t="s">
        <v>42</v>
      </c>
      <c r="N21" s="7" t="str">
        <f t="shared" si="0"/>
        <v/>
      </c>
      <c r="O21" s="2" t="s">
        <v>78</v>
      </c>
      <c r="P21" s="2">
        <v>12</v>
      </c>
      <c r="Q21" s="2" t="str">
        <f ca="1" t="shared" si="1"/>
        <v>/</v>
      </c>
    </row>
    <row r="22" spans="1:17">
      <c r="A22" s="4">
        <v>21</v>
      </c>
      <c r="B22" s="2" t="s">
        <v>99</v>
      </c>
      <c r="C22" s="2" t="s">
        <v>100</v>
      </c>
      <c r="D22" s="5" t="s">
        <v>101</v>
      </c>
      <c r="F22" s="2" t="s">
        <v>102</v>
      </c>
      <c r="J22" s="2" t="s">
        <v>41</v>
      </c>
      <c r="K22" s="17"/>
      <c r="L22" s="2" t="s">
        <v>42</v>
      </c>
      <c r="N22" s="7" t="str">
        <f t="shared" si="0"/>
        <v/>
      </c>
      <c r="O22" s="2" t="s">
        <v>78</v>
      </c>
      <c r="P22" s="2">
        <v>12</v>
      </c>
      <c r="Q22" s="2" t="str">
        <f ca="1" t="shared" si="1"/>
        <v>/</v>
      </c>
    </row>
    <row r="23" spans="1:17">
      <c r="A23" s="4">
        <v>22</v>
      </c>
      <c r="B23" s="2" t="s">
        <v>99</v>
      </c>
      <c r="C23" s="2" t="s">
        <v>103</v>
      </c>
      <c r="D23" s="5" t="s">
        <v>104</v>
      </c>
      <c r="F23" s="2" t="s">
        <v>105</v>
      </c>
      <c r="J23" s="2" t="s">
        <v>41</v>
      </c>
      <c r="K23" s="17"/>
      <c r="L23" s="2" t="s">
        <v>42</v>
      </c>
      <c r="N23" s="7" t="str">
        <f t="shared" si="0"/>
        <v/>
      </c>
      <c r="O23" s="2" t="s">
        <v>78</v>
      </c>
      <c r="P23" s="2">
        <v>12</v>
      </c>
      <c r="Q23" s="2" t="str">
        <f ca="1" t="shared" si="1"/>
        <v>/</v>
      </c>
    </row>
    <row r="24" spans="1:17">
      <c r="A24" s="4">
        <v>23</v>
      </c>
      <c r="B24" s="2" t="s">
        <v>99</v>
      </c>
      <c r="C24" s="2" t="s">
        <v>106</v>
      </c>
      <c r="D24" s="5" t="s">
        <v>107</v>
      </c>
      <c r="F24" s="2" t="s">
        <v>108</v>
      </c>
      <c r="J24" s="2" t="s">
        <v>41</v>
      </c>
      <c r="K24" s="17"/>
      <c r="L24" s="2" t="s">
        <v>42</v>
      </c>
      <c r="N24" s="7" t="str">
        <f t="shared" si="0"/>
        <v/>
      </c>
      <c r="O24" s="2" t="s">
        <v>78</v>
      </c>
      <c r="P24" s="2">
        <v>12</v>
      </c>
      <c r="Q24" s="2" t="str">
        <f ca="1" t="shared" si="1"/>
        <v>/</v>
      </c>
    </row>
    <row r="25" spans="1:17">
      <c r="A25" s="4">
        <v>24</v>
      </c>
      <c r="B25" s="2" t="s">
        <v>99</v>
      </c>
      <c r="C25" s="2" t="s">
        <v>109</v>
      </c>
      <c r="D25" s="5" t="s">
        <v>110</v>
      </c>
      <c r="F25" s="2" t="s">
        <v>111</v>
      </c>
      <c r="J25" s="2" t="s">
        <v>41</v>
      </c>
      <c r="K25" s="17"/>
      <c r="L25" s="2" t="s">
        <v>42</v>
      </c>
      <c r="N25" s="7" t="str">
        <f t="shared" si="0"/>
        <v/>
      </c>
      <c r="O25" s="2" t="s">
        <v>78</v>
      </c>
      <c r="P25" s="2">
        <v>12</v>
      </c>
      <c r="Q25" s="2" t="str">
        <f ca="1" t="shared" si="1"/>
        <v>/</v>
      </c>
    </row>
    <row r="26" spans="1:17">
      <c r="A26" s="4">
        <v>25</v>
      </c>
      <c r="B26" s="2" t="s">
        <v>99</v>
      </c>
      <c r="C26" s="2" t="s">
        <v>112</v>
      </c>
      <c r="D26" s="5" t="s">
        <v>113</v>
      </c>
      <c r="F26" s="2" t="s">
        <v>114</v>
      </c>
      <c r="J26" s="2" t="s">
        <v>41</v>
      </c>
      <c r="K26" s="17"/>
      <c r="L26" s="2" t="s">
        <v>42</v>
      </c>
      <c r="N26" s="7" t="str">
        <f t="shared" si="0"/>
        <v/>
      </c>
      <c r="O26" s="2" t="s">
        <v>78</v>
      </c>
      <c r="P26" s="2">
        <v>12</v>
      </c>
      <c r="Q26" s="2" t="str">
        <f ca="1" t="shared" si="1"/>
        <v>/</v>
      </c>
    </row>
    <row r="27" spans="1:17">
      <c r="A27" s="4">
        <v>26</v>
      </c>
      <c r="B27" s="2" t="s">
        <v>99</v>
      </c>
      <c r="C27" s="2" t="s">
        <v>112</v>
      </c>
      <c r="D27" s="5" t="s">
        <v>115</v>
      </c>
      <c r="F27" s="2" t="s">
        <v>114</v>
      </c>
      <c r="J27" s="2" t="s">
        <v>41</v>
      </c>
      <c r="K27" s="17"/>
      <c r="L27" s="2" t="s">
        <v>42</v>
      </c>
      <c r="N27" s="7" t="str">
        <f t="shared" si="0"/>
        <v/>
      </c>
      <c r="O27" s="2" t="s">
        <v>78</v>
      </c>
      <c r="P27" s="2">
        <v>12</v>
      </c>
      <c r="Q27" s="2" t="str">
        <f ca="1" t="shared" si="1"/>
        <v>/</v>
      </c>
    </row>
    <row r="28" spans="1:17">
      <c r="A28" s="4">
        <v>27</v>
      </c>
      <c r="B28" s="2" t="s">
        <v>99</v>
      </c>
      <c r="C28" s="2" t="s">
        <v>116</v>
      </c>
      <c r="D28" s="5" t="s">
        <v>117</v>
      </c>
      <c r="F28" s="2" t="s">
        <v>118</v>
      </c>
      <c r="J28" s="2" t="s">
        <v>41</v>
      </c>
      <c r="K28" s="17"/>
      <c r="L28" s="2" t="s">
        <v>42</v>
      </c>
      <c r="N28" s="7" t="str">
        <f t="shared" si="0"/>
        <v/>
      </c>
      <c r="O28" s="2" t="s">
        <v>78</v>
      </c>
      <c r="P28" s="2">
        <v>12</v>
      </c>
      <c r="Q28" s="2" t="str">
        <f ca="1" t="shared" si="1"/>
        <v>/</v>
      </c>
    </row>
    <row r="29" spans="1:17">
      <c r="A29" s="4">
        <v>28</v>
      </c>
      <c r="B29" s="2" t="s">
        <v>99</v>
      </c>
      <c r="C29" s="2" t="s">
        <v>116</v>
      </c>
      <c r="D29" s="5" t="s">
        <v>119</v>
      </c>
      <c r="F29" s="2" t="s">
        <v>118</v>
      </c>
      <c r="J29" s="2" t="s">
        <v>41</v>
      </c>
      <c r="K29" s="17"/>
      <c r="L29" s="2" t="s">
        <v>42</v>
      </c>
      <c r="N29" s="7" t="str">
        <f t="shared" si="0"/>
        <v/>
      </c>
      <c r="O29" s="2" t="s">
        <v>78</v>
      </c>
      <c r="P29" s="2">
        <v>12</v>
      </c>
      <c r="Q29" s="2" t="str">
        <f ca="1" t="shared" si="1"/>
        <v>/</v>
      </c>
    </row>
    <row r="30" spans="1:17">
      <c r="A30" s="4">
        <v>29</v>
      </c>
      <c r="B30" s="2" t="s">
        <v>120</v>
      </c>
      <c r="C30" s="2" t="s">
        <v>121</v>
      </c>
      <c r="D30" s="5" t="s">
        <v>122</v>
      </c>
      <c r="F30" s="2" t="s">
        <v>102</v>
      </c>
      <c r="J30" s="2" t="s">
        <v>23</v>
      </c>
      <c r="K30" s="17"/>
      <c r="L30" s="2" t="s">
        <v>42</v>
      </c>
      <c r="N30" s="7" t="str">
        <f t="shared" si="0"/>
        <v/>
      </c>
      <c r="O30" s="2" t="s">
        <v>78</v>
      </c>
      <c r="P30" s="2">
        <v>12</v>
      </c>
      <c r="Q30" s="2" t="str">
        <f ca="1" t="shared" si="1"/>
        <v>/</v>
      </c>
    </row>
    <row r="31" spans="1:17">
      <c r="A31" s="4">
        <v>30</v>
      </c>
      <c r="B31" s="2" t="s">
        <v>120</v>
      </c>
      <c r="C31" s="2" t="s">
        <v>105</v>
      </c>
      <c r="D31" s="5" t="s">
        <v>123</v>
      </c>
      <c r="F31" s="2" t="s">
        <v>105</v>
      </c>
      <c r="J31" s="2" t="s">
        <v>23</v>
      </c>
      <c r="K31" s="17"/>
      <c r="L31" s="2" t="s">
        <v>42</v>
      </c>
      <c r="N31" s="7" t="str">
        <f t="shared" si="0"/>
        <v/>
      </c>
      <c r="O31" s="2" t="s">
        <v>78</v>
      </c>
      <c r="P31" s="2">
        <v>12</v>
      </c>
      <c r="Q31" s="2" t="str">
        <f ca="1" t="shared" si="1"/>
        <v>/</v>
      </c>
    </row>
    <row r="32" spans="1:17">
      <c r="A32" s="4">
        <v>31</v>
      </c>
      <c r="B32" s="2" t="s">
        <v>120</v>
      </c>
      <c r="C32" s="2" t="s">
        <v>124</v>
      </c>
      <c r="D32" s="5" t="s">
        <v>125</v>
      </c>
      <c r="F32" s="2" t="s">
        <v>126</v>
      </c>
      <c r="J32" s="2" t="s">
        <v>23</v>
      </c>
      <c r="K32" s="17"/>
      <c r="L32" s="2" t="s">
        <v>42</v>
      </c>
      <c r="N32" s="7" t="str">
        <f t="shared" si="0"/>
        <v/>
      </c>
      <c r="O32" s="2" t="s">
        <v>78</v>
      </c>
      <c r="P32" s="2">
        <v>12</v>
      </c>
      <c r="Q32" s="2" t="str">
        <f ca="1" t="shared" si="1"/>
        <v>/</v>
      </c>
    </row>
    <row r="33" spans="1:17">
      <c r="A33" s="4">
        <v>32</v>
      </c>
      <c r="B33" s="2" t="s">
        <v>120</v>
      </c>
      <c r="C33" s="2" t="s">
        <v>124</v>
      </c>
      <c r="D33" s="5" t="s">
        <v>127</v>
      </c>
      <c r="F33" s="2" t="s">
        <v>126</v>
      </c>
      <c r="J33" s="2" t="s">
        <v>23</v>
      </c>
      <c r="K33" s="17"/>
      <c r="L33" s="2" t="s">
        <v>42</v>
      </c>
      <c r="N33" s="7" t="str">
        <f t="shared" si="0"/>
        <v/>
      </c>
      <c r="O33" s="2" t="s">
        <v>78</v>
      </c>
      <c r="P33" s="2">
        <v>12</v>
      </c>
      <c r="Q33" s="2" t="str">
        <f ca="1" t="shared" si="1"/>
        <v>/</v>
      </c>
    </row>
    <row r="34" spans="1:17">
      <c r="A34" s="4">
        <v>33</v>
      </c>
      <c r="B34" s="2" t="s">
        <v>128</v>
      </c>
      <c r="C34" s="2" t="s">
        <v>129</v>
      </c>
      <c r="D34" s="5" t="s">
        <v>130</v>
      </c>
      <c r="F34" s="2" t="s">
        <v>131</v>
      </c>
      <c r="G34" s="2" t="s">
        <v>132</v>
      </c>
      <c r="J34" s="2" t="s">
        <v>41</v>
      </c>
      <c r="K34" s="17"/>
      <c r="L34" s="2" t="s">
        <v>42</v>
      </c>
      <c r="N34" s="7" t="str">
        <f t="shared" si="0"/>
        <v/>
      </c>
      <c r="O34" s="2" t="s">
        <v>78</v>
      </c>
      <c r="P34" s="2">
        <v>12</v>
      </c>
      <c r="Q34" s="2" t="str">
        <f ca="1" t="shared" si="1"/>
        <v>/</v>
      </c>
    </row>
    <row r="35" spans="1:17">
      <c r="A35" s="4">
        <v>34</v>
      </c>
      <c r="B35" s="2" t="s">
        <v>61</v>
      </c>
      <c r="C35" s="2" t="s">
        <v>133</v>
      </c>
      <c r="D35" s="5" t="s">
        <v>134</v>
      </c>
      <c r="E35" s="22" t="s">
        <v>135</v>
      </c>
      <c r="F35" s="2" t="s">
        <v>136</v>
      </c>
      <c r="G35" s="2" t="s">
        <v>137</v>
      </c>
      <c r="J35" s="2" t="s">
        <v>41</v>
      </c>
      <c r="K35" s="17"/>
      <c r="L35" s="2" t="s">
        <v>42</v>
      </c>
      <c r="N35" s="7" t="str">
        <f t="shared" si="0"/>
        <v/>
      </c>
      <c r="O35" s="2" t="s">
        <v>78</v>
      </c>
      <c r="P35" s="2">
        <v>12</v>
      </c>
      <c r="Q35" s="2" t="str">
        <f ca="1" t="shared" si="1"/>
        <v>/</v>
      </c>
    </row>
    <row r="36" spans="1:17">
      <c r="A36" s="4">
        <v>35</v>
      </c>
      <c r="B36" s="2" t="s">
        <v>57</v>
      </c>
      <c r="C36" s="2" t="s">
        <v>58</v>
      </c>
      <c r="D36" s="5" t="s">
        <v>138</v>
      </c>
      <c r="H36" s="2" t="s">
        <v>60</v>
      </c>
      <c r="J36" s="2" t="s">
        <v>25</v>
      </c>
      <c r="K36" s="17"/>
      <c r="L36" s="2" t="s">
        <v>42</v>
      </c>
      <c r="N36" s="7" t="str">
        <f t="shared" si="0"/>
        <v/>
      </c>
      <c r="O36" s="2" t="s">
        <v>78</v>
      </c>
      <c r="P36" s="2">
        <v>12</v>
      </c>
      <c r="Q36" s="2" t="str">
        <f ca="1" t="shared" si="1"/>
        <v>/</v>
      </c>
    </row>
    <row r="37" spans="1:17">
      <c r="A37" s="4">
        <v>36</v>
      </c>
      <c r="B37" s="2" t="s">
        <v>139</v>
      </c>
      <c r="C37" s="2" t="s">
        <v>140</v>
      </c>
      <c r="D37" s="5" t="s">
        <v>141</v>
      </c>
      <c r="F37" s="2" t="s">
        <v>142</v>
      </c>
      <c r="G37" s="2" t="s">
        <v>23</v>
      </c>
      <c r="H37" s="2" t="s">
        <v>143</v>
      </c>
      <c r="J37" s="2" t="s">
        <v>41</v>
      </c>
      <c r="K37" s="17">
        <v>45835</v>
      </c>
      <c r="L37" s="2" t="s">
        <v>26</v>
      </c>
      <c r="N37" s="7">
        <f t="shared" si="0"/>
        <v>46199</v>
      </c>
      <c r="O37" s="2" t="s">
        <v>78</v>
      </c>
      <c r="P37" s="2">
        <v>12</v>
      </c>
      <c r="Q37" s="2">
        <f ca="1" t="shared" si="1"/>
        <v>233</v>
      </c>
    </row>
    <row r="38" spans="1:17">
      <c r="A38" s="4">
        <v>37</v>
      </c>
      <c r="B38" s="2" t="s">
        <v>144</v>
      </c>
      <c r="C38" s="2" t="s">
        <v>145</v>
      </c>
      <c r="D38" s="5" t="s">
        <v>146</v>
      </c>
      <c r="F38" s="2" t="s">
        <v>147</v>
      </c>
      <c r="G38" s="2" t="s">
        <v>23</v>
      </c>
      <c r="H38" s="2" t="s">
        <v>143</v>
      </c>
      <c r="J38" s="2" t="s">
        <v>41</v>
      </c>
      <c r="K38" s="17">
        <v>45835</v>
      </c>
      <c r="L38" s="2" t="s">
        <v>26</v>
      </c>
      <c r="N38" s="7">
        <f t="shared" si="0"/>
        <v>46199</v>
      </c>
      <c r="O38" s="2" t="s">
        <v>78</v>
      </c>
      <c r="P38" s="2">
        <v>12</v>
      </c>
      <c r="Q38" s="2">
        <f ca="1" t="shared" si="1"/>
        <v>233</v>
      </c>
    </row>
    <row r="39" spans="1:17">
      <c r="A39" s="4">
        <v>38</v>
      </c>
      <c r="B39" s="2" t="s">
        <v>148</v>
      </c>
      <c r="D39" s="5" t="s">
        <v>149</v>
      </c>
      <c r="J39" s="2" t="s">
        <v>25</v>
      </c>
      <c r="K39" s="17"/>
      <c r="L39" s="2" t="s">
        <v>42</v>
      </c>
      <c r="N39" s="7" t="str">
        <f t="shared" si="0"/>
        <v/>
      </c>
      <c r="O39" s="2" t="s">
        <v>78</v>
      </c>
      <c r="P39" s="2">
        <v>12</v>
      </c>
      <c r="Q39" s="2" t="str">
        <f ca="1" t="shared" si="1"/>
        <v>/</v>
      </c>
    </row>
    <row r="40" spans="1:17">
      <c r="A40" s="4">
        <v>39</v>
      </c>
      <c r="B40" s="2" t="s">
        <v>150</v>
      </c>
      <c r="D40" s="5" t="s">
        <v>151</v>
      </c>
      <c r="J40" s="2" t="s">
        <v>25</v>
      </c>
      <c r="K40" s="17"/>
      <c r="L40" s="2" t="s">
        <v>42</v>
      </c>
      <c r="N40" s="7" t="str">
        <f t="shared" si="0"/>
        <v/>
      </c>
      <c r="O40" s="2" t="s">
        <v>78</v>
      </c>
      <c r="P40" s="2">
        <v>12</v>
      </c>
      <c r="Q40" s="2" t="str">
        <f ca="1" t="shared" si="1"/>
        <v>/</v>
      </c>
    </row>
    <row r="41" spans="1:17">
      <c r="A41" s="4">
        <v>40</v>
      </c>
      <c r="B41" s="2" t="s">
        <v>152</v>
      </c>
      <c r="C41" s="2" t="s">
        <v>153</v>
      </c>
      <c r="D41" s="5" t="s">
        <v>154</v>
      </c>
      <c r="J41" s="2" t="s">
        <v>25</v>
      </c>
      <c r="K41" s="17"/>
      <c r="L41" s="2" t="s">
        <v>42</v>
      </c>
      <c r="N41" s="7" t="str">
        <f t="shared" si="0"/>
        <v/>
      </c>
      <c r="O41" s="2" t="s">
        <v>78</v>
      </c>
      <c r="P41" s="2">
        <v>12</v>
      </c>
      <c r="Q41" s="2" t="str">
        <f ca="1" t="shared" si="1"/>
        <v>/</v>
      </c>
    </row>
    <row r="42" spans="1:17">
      <c r="A42" s="4">
        <v>41</v>
      </c>
      <c r="B42" s="2" t="s">
        <v>155</v>
      </c>
      <c r="C42" s="2" t="s">
        <v>156</v>
      </c>
      <c r="D42" s="5" t="s">
        <v>157</v>
      </c>
      <c r="J42" s="2" t="s">
        <v>25</v>
      </c>
      <c r="K42" s="17"/>
      <c r="L42" s="2" t="s">
        <v>42</v>
      </c>
      <c r="N42" s="7" t="str">
        <f t="shared" si="0"/>
        <v/>
      </c>
      <c r="O42" s="2" t="s">
        <v>78</v>
      </c>
      <c r="P42" s="2">
        <v>12</v>
      </c>
      <c r="Q42" s="2" t="str">
        <f ca="1" t="shared" si="1"/>
        <v>/</v>
      </c>
    </row>
    <row r="43" ht="14.25" spans="1:17">
      <c r="A43" s="4">
        <v>42</v>
      </c>
      <c r="B43" s="2" t="s">
        <v>158</v>
      </c>
      <c r="C43" s="2" t="s">
        <v>159</v>
      </c>
      <c r="D43" s="5" t="s">
        <v>160</v>
      </c>
      <c r="J43" s="2" t="s">
        <v>25</v>
      </c>
      <c r="K43" s="17"/>
      <c r="L43" s="2" t="s">
        <v>42</v>
      </c>
      <c r="N43" s="7" t="str">
        <f t="shared" si="0"/>
        <v/>
      </c>
      <c r="O43" s="2" t="s">
        <v>78</v>
      </c>
      <c r="P43" s="2">
        <v>12</v>
      </c>
      <c r="Q43" s="2" t="str">
        <f ca="1" t="shared" si="1"/>
        <v>/</v>
      </c>
    </row>
    <row r="44" s="1" customFormat="1" ht="14.25" spans="1:17">
      <c r="A44" s="3">
        <v>43</v>
      </c>
      <c r="B44" s="1" t="s">
        <v>161</v>
      </c>
      <c r="C44" s="1" t="s">
        <v>162</v>
      </c>
      <c r="D44" s="3" t="s">
        <v>163</v>
      </c>
      <c r="F44" s="1" t="s">
        <v>23</v>
      </c>
      <c r="G44" s="1" t="s">
        <v>23</v>
      </c>
      <c r="J44" s="2" t="s">
        <v>25</v>
      </c>
      <c r="K44" s="17">
        <v>45834</v>
      </c>
      <c r="L44" s="1" t="s">
        <v>26</v>
      </c>
      <c r="N44" s="7">
        <f t="shared" si="0"/>
        <v>46198</v>
      </c>
      <c r="O44" s="1" t="s">
        <v>164</v>
      </c>
      <c r="P44" s="2">
        <v>12</v>
      </c>
      <c r="Q44" s="2">
        <f ca="1" t="shared" si="1"/>
        <v>232</v>
      </c>
    </row>
    <row r="45" spans="1:17">
      <c r="A45" s="4">
        <v>44</v>
      </c>
      <c r="B45" s="2" t="s">
        <v>165</v>
      </c>
      <c r="C45" s="2" t="s">
        <v>166</v>
      </c>
      <c r="D45" s="5" t="s">
        <v>167</v>
      </c>
      <c r="F45" s="2" t="s">
        <v>168</v>
      </c>
      <c r="G45" s="2" t="s">
        <v>169</v>
      </c>
      <c r="J45" s="2" t="s">
        <v>41</v>
      </c>
      <c r="K45" s="17"/>
      <c r="L45" s="2" t="s">
        <v>42</v>
      </c>
      <c r="N45" s="7" t="str">
        <f t="shared" si="0"/>
        <v/>
      </c>
      <c r="O45" s="2" t="s">
        <v>164</v>
      </c>
      <c r="P45" s="2">
        <v>12</v>
      </c>
      <c r="Q45" s="2" t="str">
        <f ca="1" t="shared" si="1"/>
        <v>/</v>
      </c>
    </row>
    <row r="46" spans="1:17">
      <c r="A46" s="4">
        <v>45</v>
      </c>
      <c r="B46" s="2" t="s">
        <v>165</v>
      </c>
      <c r="C46" s="2" t="s">
        <v>166</v>
      </c>
      <c r="D46" s="5" t="s">
        <v>170</v>
      </c>
      <c r="F46" s="2" t="s">
        <v>168</v>
      </c>
      <c r="G46" s="2" t="s">
        <v>169</v>
      </c>
      <c r="J46" s="2" t="s">
        <v>41</v>
      </c>
      <c r="K46" s="17"/>
      <c r="L46" s="2" t="s">
        <v>42</v>
      </c>
      <c r="N46" s="7" t="str">
        <f t="shared" si="0"/>
        <v/>
      </c>
      <c r="O46" s="2" t="s">
        <v>164</v>
      </c>
      <c r="P46" s="2">
        <v>12</v>
      </c>
      <c r="Q46" s="2" t="str">
        <f ca="1" t="shared" si="1"/>
        <v>/</v>
      </c>
    </row>
    <row r="47" spans="1:17">
      <c r="A47" s="4">
        <v>46</v>
      </c>
      <c r="B47" s="2" t="s">
        <v>99</v>
      </c>
      <c r="C47" s="2" t="s">
        <v>171</v>
      </c>
      <c r="D47" s="5" t="s">
        <v>172</v>
      </c>
      <c r="F47" s="2" t="s">
        <v>173</v>
      </c>
      <c r="G47" s="2" t="s">
        <v>174</v>
      </c>
      <c r="J47" s="2" t="s">
        <v>41</v>
      </c>
      <c r="K47" s="17"/>
      <c r="L47" s="2" t="s">
        <v>42</v>
      </c>
      <c r="N47" s="7" t="str">
        <f t="shared" si="0"/>
        <v/>
      </c>
      <c r="O47" s="2" t="s">
        <v>164</v>
      </c>
      <c r="P47" s="2">
        <v>12</v>
      </c>
      <c r="Q47" s="2" t="str">
        <f ca="1" t="shared" si="1"/>
        <v>/</v>
      </c>
    </row>
    <row r="48" spans="1:17">
      <c r="A48" s="4">
        <v>47</v>
      </c>
      <c r="B48" s="2" t="s">
        <v>175</v>
      </c>
      <c r="D48" s="5" t="s">
        <v>176</v>
      </c>
      <c r="F48" s="2" t="s">
        <v>177</v>
      </c>
      <c r="G48" s="2" t="s">
        <v>178</v>
      </c>
      <c r="J48" s="2" t="s">
        <v>41</v>
      </c>
      <c r="K48" s="17"/>
      <c r="L48" s="2" t="s">
        <v>42</v>
      </c>
      <c r="N48" s="7" t="str">
        <f t="shared" si="0"/>
        <v/>
      </c>
      <c r="O48" s="2" t="s">
        <v>164</v>
      </c>
      <c r="P48" s="2">
        <v>12</v>
      </c>
      <c r="Q48" s="2" t="str">
        <f ca="1" t="shared" si="1"/>
        <v>/</v>
      </c>
    </row>
    <row r="49" spans="1:17">
      <c r="A49" s="4">
        <v>48</v>
      </c>
      <c r="B49" s="2" t="s">
        <v>175</v>
      </c>
      <c r="D49" s="5" t="s">
        <v>179</v>
      </c>
      <c r="F49" s="2" t="s">
        <v>177</v>
      </c>
      <c r="G49" s="2" t="s">
        <v>178</v>
      </c>
      <c r="J49" s="2" t="s">
        <v>41</v>
      </c>
      <c r="K49" s="17"/>
      <c r="L49" s="2" t="s">
        <v>42</v>
      </c>
      <c r="N49" s="7" t="str">
        <f t="shared" si="0"/>
        <v/>
      </c>
      <c r="O49" s="2" t="s">
        <v>164</v>
      </c>
      <c r="P49" s="2">
        <v>12</v>
      </c>
      <c r="Q49" s="2" t="str">
        <f ca="1" t="shared" si="1"/>
        <v>/</v>
      </c>
    </row>
    <row r="50" spans="1:17">
      <c r="A50" s="4">
        <v>49</v>
      </c>
      <c r="B50" s="2" t="s">
        <v>120</v>
      </c>
      <c r="C50" s="2" t="s">
        <v>180</v>
      </c>
      <c r="D50" s="5" t="s">
        <v>181</v>
      </c>
      <c r="F50" s="2" t="s">
        <v>182</v>
      </c>
      <c r="G50" s="2" t="s">
        <v>111</v>
      </c>
      <c r="J50" s="2" t="s">
        <v>41</v>
      </c>
      <c r="K50" s="17"/>
      <c r="L50" s="2" t="s">
        <v>42</v>
      </c>
      <c r="N50" s="7" t="str">
        <f t="shared" si="0"/>
        <v/>
      </c>
      <c r="O50" s="2" t="s">
        <v>164</v>
      </c>
      <c r="P50" s="2">
        <v>12</v>
      </c>
      <c r="Q50" s="2" t="str">
        <f ca="1" t="shared" si="1"/>
        <v>/</v>
      </c>
    </row>
    <row r="51" spans="1:17">
      <c r="A51" s="4">
        <v>50</v>
      </c>
      <c r="B51" s="2" t="s">
        <v>120</v>
      </c>
      <c r="C51" s="2" t="s">
        <v>105</v>
      </c>
      <c r="D51" s="5" t="s">
        <v>183</v>
      </c>
      <c r="F51" s="2" t="s">
        <v>184</v>
      </c>
      <c r="G51" s="2" t="s">
        <v>108</v>
      </c>
      <c r="J51" s="2" t="s">
        <v>41</v>
      </c>
      <c r="K51" s="17"/>
      <c r="L51" s="2" t="s">
        <v>42</v>
      </c>
      <c r="N51" s="7" t="str">
        <f t="shared" si="0"/>
        <v/>
      </c>
      <c r="O51" s="2" t="s">
        <v>164</v>
      </c>
      <c r="P51" s="2">
        <v>12</v>
      </c>
      <c r="Q51" s="2" t="str">
        <f ca="1" t="shared" si="1"/>
        <v>/</v>
      </c>
    </row>
    <row r="52" spans="1:17">
      <c r="A52" s="4">
        <v>51</v>
      </c>
      <c r="B52" s="2" t="s">
        <v>185</v>
      </c>
      <c r="C52" s="2" t="s">
        <v>186</v>
      </c>
      <c r="D52" s="5" t="s">
        <v>187</v>
      </c>
      <c r="J52" s="2" t="s">
        <v>25</v>
      </c>
      <c r="K52" s="17"/>
      <c r="L52" s="2" t="s">
        <v>42</v>
      </c>
      <c r="N52" s="7" t="str">
        <f t="shared" si="0"/>
        <v/>
      </c>
      <c r="O52" s="2" t="s">
        <v>164</v>
      </c>
      <c r="P52" s="2">
        <v>12</v>
      </c>
      <c r="Q52" s="2" t="str">
        <f ca="1" t="shared" si="1"/>
        <v>/</v>
      </c>
    </row>
    <row r="53" spans="1:17">
      <c r="A53" s="4">
        <v>52</v>
      </c>
      <c r="B53" s="2" t="s">
        <v>185</v>
      </c>
      <c r="C53" s="2" t="s">
        <v>186</v>
      </c>
      <c r="D53" s="5" t="s">
        <v>188</v>
      </c>
      <c r="J53" s="2" t="s">
        <v>25</v>
      </c>
      <c r="K53" s="17"/>
      <c r="L53" s="2" t="s">
        <v>42</v>
      </c>
      <c r="N53" s="7" t="str">
        <f t="shared" si="0"/>
        <v/>
      </c>
      <c r="O53" s="2" t="s">
        <v>164</v>
      </c>
      <c r="P53" s="2">
        <v>12</v>
      </c>
      <c r="Q53" s="2" t="str">
        <f ca="1" t="shared" si="1"/>
        <v>/</v>
      </c>
    </row>
    <row r="54" spans="1:17">
      <c r="A54" s="4">
        <v>53</v>
      </c>
      <c r="B54" s="2" t="s">
        <v>189</v>
      </c>
      <c r="D54" s="5" t="s">
        <v>190</v>
      </c>
      <c r="J54" s="2" t="s">
        <v>25</v>
      </c>
      <c r="K54" s="17"/>
      <c r="L54" s="2" t="s">
        <v>42</v>
      </c>
      <c r="N54" s="7" t="str">
        <f t="shared" si="0"/>
        <v/>
      </c>
      <c r="O54" s="2" t="s">
        <v>164</v>
      </c>
      <c r="P54" s="2">
        <v>12</v>
      </c>
      <c r="Q54" s="2" t="str">
        <f ca="1" t="shared" si="1"/>
        <v>/</v>
      </c>
    </row>
    <row r="55" spans="1:17">
      <c r="A55" s="4">
        <v>54</v>
      </c>
      <c r="B55" s="2" t="s">
        <v>191</v>
      </c>
      <c r="C55" s="2" t="s">
        <v>192</v>
      </c>
      <c r="D55" s="5" t="s">
        <v>193</v>
      </c>
      <c r="F55" s="2" t="s">
        <v>194</v>
      </c>
      <c r="J55" s="2" t="s">
        <v>25</v>
      </c>
      <c r="K55" s="17"/>
      <c r="L55" s="2" t="s">
        <v>42</v>
      </c>
      <c r="N55" s="7" t="str">
        <f t="shared" si="0"/>
        <v/>
      </c>
      <c r="O55" s="2" t="s">
        <v>164</v>
      </c>
      <c r="P55" s="2">
        <v>12</v>
      </c>
      <c r="Q55" s="2" t="str">
        <f ca="1" t="shared" si="1"/>
        <v>/</v>
      </c>
    </row>
    <row r="56" spans="1:17">
      <c r="A56" s="4">
        <v>55</v>
      </c>
      <c r="B56" s="2" t="s">
        <v>195</v>
      </c>
      <c r="C56" s="2" t="s">
        <v>196</v>
      </c>
      <c r="D56" s="5" t="s">
        <v>197</v>
      </c>
      <c r="J56" s="2" t="s">
        <v>23</v>
      </c>
      <c r="K56" s="17"/>
      <c r="L56" s="2" t="s">
        <v>42</v>
      </c>
      <c r="N56" s="7" t="str">
        <f t="shared" si="0"/>
        <v/>
      </c>
      <c r="O56" s="2" t="s">
        <v>164</v>
      </c>
      <c r="P56" s="2">
        <v>12</v>
      </c>
      <c r="Q56" s="2" t="str">
        <f ca="1" t="shared" si="1"/>
        <v>/</v>
      </c>
    </row>
    <row r="57" spans="1:17">
      <c r="A57" s="4">
        <v>56</v>
      </c>
      <c r="B57" s="2" t="s">
        <v>198</v>
      </c>
      <c r="C57" s="2" t="s">
        <v>199</v>
      </c>
      <c r="D57" s="5" t="s">
        <v>200</v>
      </c>
      <c r="F57" s="2" t="s">
        <v>199</v>
      </c>
      <c r="G57" s="2" t="s">
        <v>199</v>
      </c>
      <c r="J57" s="2" t="s">
        <v>25</v>
      </c>
      <c r="K57" s="17">
        <v>45835</v>
      </c>
      <c r="L57" s="2" t="s">
        <v>26</v>
      </c>
      <c r="N57" s="7">
        <f t="shared" si="0"/>
        <v>46199</v>
      </c>
      <c r="O57" s="2" t="s">
        <v>164</v>
      </c>
      <c r="P57" s="2">
        <v>12</v>
      </c>
      <c r="Q57" s="2">
        <f ca="1" t="shared" si="1"/>
        <v>233</v>
      </c>
    </row>
    <row r="58" spans="1:17">
      <c r="A58" s="4">
        <v>57</v>
      </c>
      <c r="B58" s="2" t="s">
        <v>198</v>
      </c>
      <c r="C58" s="2" t="s">
        <v>201</v>
      </c>
      <c r="D58" s="5" t="s">
        <v>202</v>
      </c>
      <c r="F58" s="2" t="s">
        <v>201</v>
      </c>
      <c r="G58" s="2" t="s">
        <v>201</v>
      </c>
      <c r="J58" s="2" t="s">
        <v>25</v>
      </c>
      <c r="K58" s="17">
        <v>45835</v>
      </c>
      <c r="L58" s="2" t="s">
        <v>26</v>
      </c>
      <c r="N58" s="7">
        <f t="shared" si="0"/>
        <v>46199</v>
      </c>
      <c r="O58" s="2" t="s">
        <v>164</v>
      </c>
      <c r="P58" s="2">
        <v>12</v>
      </c>
      <c r="Q58" s="2">
        <f ca="1" t="shared" si="1"/>
        <v>233</v>
      </c>
    </row>
    <row r="59" spans="1:17">
      <c r="A59" s="4">
        <v>58</v>
      </c>
      <c r="B59" s="2" t="s">
        <v>203</v>
      </c>
      <c r="C59" s="2" t="s">
        <v>204</v>
      </c>
      <c r="D59" s="5" t="s">
        <v>205</v>
      </c>
      <c r="J59" s="2" t="s">
        <v>25</v>
      </c>
      <c r="K59" s="17">
        <v>45835</v>
      </c>
      <c r="L59" s="2" t="s">
        <v>26</v>
      </c>
      <c r="N59" s="7">
        <f t="shared" si="0"/>
        <v>46199</v>
      </c>
      <c r="O59" s="2" t="s">
        <v>164</v>
      </c>
      <c r="P59" s="2">
        <v>12</v>
      </c>
      <c r="Q59" s="2">
        <f ca="1" t="shared" si="1"/>
        <v>233</v>
      </c>
    </row>
    <row r="60" spans="1:17">
      <c r="A60" s="4"/>
      <c r="B60" s="15" t="s">
        <v>206</v>
      </c>
      <c r="C60" s="15" t="s">
        <v>207</v>
      </c>
      <c r="D60" s="5" t="s">
        <v>208</v>
      </c>
      <c r="J60" s="2" t="s">
        <v>25</v>
      </c>
      <c r="K60" s="17"/>
      <c r="N60" s="7" t="str">
        <f t="shared" si="0"/>
        <v/>
      </c>
      <c r="O60" s="2" t="s">
        <v>164</v>
      </c>
      <c r="P60" s="2">
        <v>12</v>
      </c>
      <c r="Q60" s="2" t="str">
        <f ca="1" t="shared" si="1"/>
        <v>/</v>
      </c>
    </row>
    <row r="61" spans="1:17">
      <c r="A61" s="4"/>
      <c r="B61" s="15" t="s">
        <v>206</v>
      </c>
      <c r="C61" s="15" t="s">
        <v>207</v>
      </c>
      <c r="D61" s="5" t="s">
        <v>209</v>
      </c>
      <c r="J61" s="2" t="s">
        <v>25</v>
      </c>
      <c r="K61" s="17"/>
      <c r="N61" s="7" t="str">
        <f t="shared" si="0"/>
        <v/>
      </c>
      <c r="O61" s="2" t="s">
        <v>164</v>
      </c>
      <c r="P61" s="2">
        <v>12</v>
      </c>
      <c r="Q61" s="2" t="str">
        <f ca="1" t="shared" si="1"/>
        <v>/</v>
      </c>
    </row>
    <row r="62" spans="1:17">
      <c r="A62" s="4"/>
      <c r="B62" s="15" t="s">
        <v>206</v>
      </c>
      <c r="C62" s="15" t="s">
        <v>207</v>
      </c>
      <c r="D62" s="5" t="s">
        <v>210</v>
      </c>
      <c r="J62" s="2" t="s">
        <v>25</v>
      </c>
      <c r="K62" s="17"/>
      <c r="N62" s="7" t="str">
        <f t="shared" si="0"/>
        <v/>
      </c>
      <c r="O62" s="2" t="s">
        <v>164</v>
      </c>
      <c r="P62" s="2">
        <v>12</v>
      </c>
      <c r="Q62" s="2" t="str">
        <f ca="1" t="shared" si="1"/>
        <v>/</v>
      </c>
    </row>
    <row r="63" spans="1:17">
      <c r="A63" s="4"/>
      <c r="B63" s="15" t="s">
        <v>206</v>
      </c>
      <c r="C63" s="15" t="s">
        <v>207</v>
      </c>
      <c r="D63" s="5" t="s">
        <v>211</v>
      </c>
      <c r="J63" s="2" t="s">
        <v>25</v>
      </c>
      <c r="K63" s="17"/>
      <c r="N63" s="7" t="str">
        <f t="shared" si="0"/>
        <v/>
      </c>
      <c r="O63" s="2" t="s">
        <v>164</v>
      </c>
      <c r="P63" s="2">
        <v>12</v>
      </c>
      <c r="Q63" s="2" t="str">
        <f ca="1" t="shared" si="1"/>
        <v>/</v>
      </c>
    </row>
    <row r="64" spans="1:17">
      <c r="A64" s="4"/>
      <c r="B64" s="15" t="s">
        <v>206</v>
      </c>
      <c r="C64" s="15" t="s">
        <v>207</v>
      </c>
      <c r="D64" s="5" t="s">
        <v>212</v>
      </c>
      <c r="J64" s="2" t="s">
        <v>25</v>
      </c>
      <c r="K64" s="17"/>
      <c r="N64" s="7" t="str">
        <f t="shared" si="0"/>
        <v/>
      </c>
      <c r="O64" s="2" t="s">
        <v>164</v>
      </c>
      <c r="P64" s="2">
        <v>12</v>
      </c>
      <c r="Q64" s="2" t="str">
        <f ca="1" t="shared" si="1"/>
        <v>/</v>
      </c>
    </row>
    <row r="65" spans="1:17">
      <c r="A65" s="4"/>
      <c r="B65" s="15" t="s">
        <v>206</v>
      </c>
      <c r="C65" s="15" t="s">
        <v>207</v>
      </c>
      <c r="D65" s="5" t="s">
        <v>213</v>
      </c>
      <c r="J65" s="2" t="s">
        <v>25</v>
      </c>
      <c r="K65" s="17"/>
      <c r="N65" s="7" t="str">
        <f t="shared" si="0"/>
        <v/>
      </c>
      <c r="O65" s="2" t="s">
        <v>164</v>
      </c>
      <c r="P65" s="2">
        <v>12</v>
      </c>
      <c r="Q65" s="2" t="str">
        <f ca="1" t="shared" si="1"/>
        <v>/</v>
      </c>
    </row>
    <row r="66" spans="1:17">
      <c r="A66" s="4">
        <v>59</v>
      </c>
      <c r="B66" s="2" t="s">
        <v>214</v>
      </c>
      <c r="C66" s="2" t="s">
        <v>215</v>
      </c>
      <c r="D66" s="5" t="s">
        <v>216</v>
      </c>
      <c r="F66" s="2" t="s">
        <v>23</v>
      </c>
      <c r="G66" s="2" t="s">
        <v>23</v>
      </c>
      <c r="J66" s="2" t="s">
        <v>25</v>
      </c>
      <c r="K66" s="17">
        <v>45834</v>
      </c>
      <c r="L66" s="2" t="s">
        <v>26</v>
      </c>
      <c r="N66" s="7">
        <f t="shared" si="0"/>
        <v>46198</v>
      </c>
      <c r="O66" s="2" t="s">
        <v>164</v>
      </c>
      <c r="P66" s="2">
        <v>12</v>
      </c>
      <c r="Q66" s="2">
        <f ca="1" t="shared" si="1"/>
        <v>232</v>
      </c>
    </row>
    <row r="67" spans="1:17">
      <c r="A67" s="4">
        <v>60</v>
      </c>
      <c r="B67" s="2" t="s">
        <v>217</v>
      </c>
      <c r="C67" s="2" t="s">
        <v>218</v>
      </c>
      <c r="D67" s="5" t="s">
        <v>219</v>
      </c>
      <c r="F67" s="2" t="s">
        <v>220</v>
      </c>
      <c r="G67" s="2" t="s">
        <v>23</v>
      </c>
      <c r="J67" s="2" t="s">
        <v>41</v>
      </c>
      <c r="K67" s="17">
        <v>45834</v>
      </c>
      <c r="L67" s="2" t="s">
        <v>26</v>
      </c>
      <c r="N67" s="7">
        <f t="shared" ref="N67:N130" si="2">IF(K67="","",EDATE(K67,P67)-1)</f>
        <v>46198</v>
      </c>
      <c r="O67" s="2" t="s">
        <v>164</v>
      </c>
      <c r="P67" s="2">
        <v>12</v>
      </c>
      <c r="Q67" s="2">
        <f ca="1" t="shared" ref="Q67:Q130" si="3">IF(OR(N67="/",N67=""),"/",N67-TODAY())</f>
        <v>232</v>
      </c>
    </row>
    <row r="68" spans="1:17">
      <c r="A68" s="4">
        <v>61</v>
      </c>
      <c r="B68" s="2" t="s">
        <v>221</v>
      </c>
      <c r="C68" s="2" t="s">
        <v>222</v>
      </c>
      <c r="D68" s="5" t="s">
        <v>223</v>
      </c>
      <c r="F68" s="2" t="s">
        <v>23</v>
      </c>
      <c r="G68" s="2" t="s">
        <v>23</v>
      </c>
      <c r="J68" s="2" t="s">
        <v>25</v>
      </c>
      <c r="K68" s="17">
        <v>45834</v>
      </c>
      <c r="L68" s="2" t="s">
        <v>26</v>
      </c>
      <c r="N68" s="7">
        <f t="shared" si="2"/>
        <v>46198</v>
      </c>
      <c r="O68" s="2" t="s">
        <v>164</v>
      </c>
      <c r="P68" s="2">
        <v>12</v>
      </c>
      <c r="Q68" s="2">
        <f ca="1" t="shared" si="3"/>
        <v>232</v>
      </c>
    </row>
    <row r="69" spans="1:17">
      <c r="A69" s="4">
        <v>62</v>
      </c>
      <c r="B69" s="2" t="s">
        <v>224</v>
      </c>
      <c r="C69" s="2" t="s">
        <v>225</v>
      </c>
      <c r="D69" s="5" t="s">
        <v>226</v>
      </c>
      <c r="F69" s="2" t="s">
        <v>23</v>
      </c>
      <c r="G69" s="2" t="s">
        <v>23</v>
      </c>
      <c r="J69" s="2" t="s">
        <v>25</v>
      </c>
      <c r="K69" s="17">
        <v>45834</v>
      </c>
      <c r="L69" s="2" t="s">
        <v>26</v>
      </c>
      <c r="N69" s="7">
        <f t="shared" si="2"/>
        <v>46198</v>
      </c>
      <c r="O69" s="2" t="s">
        <v>164</v>
      </c>
      <c r="P69" s="2">
        <v>12</v>
      </c>
      <c r="Q69" s="2">
        <f ca="1" t="shared" si="3"/>
        <v>232</v>
      </c>
    </row>
    <row r="70" spans="1:17">
      <c r="A70" s="4">
        <v>63</v>
      </c>
      <c r="B70" s="2" t="s">
        <v>227</v>
      </c>
      <c r="C70" s="2" t="s">
        <v>228</v>
      </c>
      <c r="D70" s="5" t="s">
        <v>229</v>
      </c>
      <c r="F70" s="2" t="s">
        <v>23</v>
      </c>
      <c r="G70" s="2" t="s">
        <v>23</v>
      </c>
      <c r="J70" s="2" t="s">
        <v>25</v>
      </c>
      <c r="K70" s="17">
        <v>45834</v>
      </c>
      <c r="L70" s="2" t="s">
        <v>26</v>
      </c>
      <c r="N70" s="7">
        <f t="shared" si="2"/>
        <v>46198</v>
      </c>
      <c r="O70" s="2" t="s">
        <v>164</v>
      </c>
      <c r="P70" s="2">
        <v>12</v>
      </c>
      <c r="Q70" s="2">
        <f ca="1" t="shared" si="3"/>
        <v>232</v>
      </c>
    </row>
    <row r="71" spans="1:17">
      <c r="A71" s="4">
        <v>64</v>
      </c>
      <c r="B71" s="2" t="s">
        <v>230</v>
      </c>
      <c r="C71" s="2" t="s">
        <v>231</v>
      </c>
      <c r="D71" s="5" t="s">
        <v>232</v>
      </c>
      <c r="F71" s="2" t="s">
        <v>23</v>
      </c>
      <c r="G71" s="2" t="s">
        <v>23</v>
      </c>
      <c r="J71" s="2" t="s">
        <v>25</v>
      </c>
      <c r="K71" s="17">
        <v>45834</v>
      </c>
      <c r="L71" s="2" t="s">
        <v>26</v>
      </c>
      <c r="N71" s="7">
        <f t="shared" si="2"/>
        <v>46198</v>
      </c>
      <c r="O71" s="2" t="s">
        <v>164</v>
      </c>
      <c r="P71" s="2">
        <v>12</v>
      </c>
      <c r="Q71" s="2">
        <f ca="1" t="shared" si="3"/>
        <v>232</v>
      </c>
    </row>
    <row r="72" spans="1:17">
      <c r="A72" s="4">
        <v>65</v>
      </c>
      <c r="B72" s="2" t="s">
        <v>233</v>
      </c>
      <c r="C72" s="2" t="s">
        <v>234</v>
      </c>
      <c r="D72" s="5" t="s">
        <v>235</v>
      </c>
      <c r="F72" s="2" t="s">
        <v>23</v>
      </c>
      <c r="G72" s="2" t="s">
        <v>23</v>
      </c>
      <c r="J72" s="2" t="s">
        <v>25</v>
      </c>
      <c r="K72" s="17">
        <v>45834</v>
      </c>
      <c r="L72" s="2" t="s">
        <v>26</v>
      </c>
      <c r="N72" s="7">
        <f t="shared" si="2"/>
        <v>46198</v>
      </c>
      <c r="O72" s="2" t="s">
        <v>164</v>
      </c>
      <c r="P72" s="2">
        <v>12</v>
      </c>
      <c r="Q72" s="2">
        <f ca="1" t="shared" si="3"/>
        <v>232</v>
      </c>
    </row>
    <row r="73" spans="1:17">
      <c r="A73" s="4">
        <v>66</v>
      </c>
      <c r="B73" s="2" t="s">
        <v>236</v>
      </c>
      <c r="C73" s="2" t="s">
        <v>237</v>
      </c>
      <c r="D73" s="5" t="s">
        <v>238</v>
      </c>
      <c r="F73" s="2" t="s">
        <v>23</v>
      </c>
      <c r="G73" s="2" t="s">
        <v>23</v>
      </c>
      <c r="J73" s="2" t="s">
        <v>25</v>
      </c>
      <c r="K73" s="17">
        <v>45834</v>
      </c>
      <c r="L73" s="2" t="s">
        <v>26</v>
      </c>
      <c r="N73" s="7">
        <f t="shared" si="2"/>
        <v>46198</v>
      </c>
      <c r="O73" s="2" t="s">
        <v>164</v>
      </c>
      <c r="P73" s="2">
        <v>12</v>
      </c>
      <c r="Q73" s="2">
        <f ca="1" t="shared" si="3"/>
        <v>232</v>
      </c>
    </row>
    <row r="74" spans="1:17">
      <c r="A74" s="4">
        <v>67</v>
      </c>
      <c r="B74" s="2" t="s">
        <v>239</v>
      </c>
      <c r="C74" s="2" t="s">
        <v>240</v>
      </c>
      <c r="D74" s="5" t="s">
        <v>241</v>
      </c>
      <c r="F74" s="2" t="s">
        <v>23</v>
      </c>
      <c r="G74" s="2" t="s">
        <v>23</v>
      </c>
      <c r="J74" s="2" t="s">
        <v>25</v>
      </c>
      <c r="K74" s="17">
        <v>45834</v>
      </c>
      <c r="L74" s="2" t="s">
        <v>26</v>
      </c>
      <c r="N74" s="7">
        <f t="shared" si="2"/>
        <v>46198</v>
      </c>
      <c r="O74" s="2" t="s">
        <v>164</v>
      </c>
      <c r="P74" s="2">
        <v>12</v>
      </c>
      <c r="Q74" s="2">
        <f ca="1" t="shared" si="3"/>
        <v>232</v>
      </c>
    </row>
    <row r="75" spans="1:17">
      <c r="A75" s="4">
        <v>68</v>
      </c>
      <c r="B75" s="2" t="s">
        <v>242</v>
      </c>
      <c r="C75" s="2" t="s">
        <v>243</v>
      </c>
      <c r="D75" s="5" t="s">
        <v>244</v>
      </c>
      <c r="F75" s="2" t="s">
        <v>23</v>
      </c>
      <c r="G75" s="2" t="s">
        <v>23</v>
      </c>
      <c r="J75" s="2" t="s">
        <v>25</v>
      </c>
      <c r="K75" s="17">
        <v>45834</v>
      </c>
      <c r="L75" s="2" t="s">
        <v>26</v>
      </c>
      <c r="N75" s="7">
        <f t="shared" si="2"/>
        <v>46198</v>
      </c>
      <c r="O75" s="2" t="s">
        <v>164</v>
      </c>
      <c r="P75" s="2">
        <v>12</v>
      </c>
      <c r="Q75" s="2">
        <f ca="1" t="shared" si="3"/>
        <v>232</v>
      </c>
    </row>
    <row r="76" spans="1:17">
      <c r="A76" s="4">
        <v>69</v>
      </c>
      <c r="B76" s="2" t="s">
        <v>61</v>
      </c>
      <c r="C76" s="2" t="s">
        <v>245</v>
      </c>
      <c r="D76" s="5" t="s">
        <v>246</v>
      </c>
      <c r="F76" s="2" t="s">
        <v>247</v>
      </c>
      <c r="G76" s="2" t="s">
        <v>248</v>
      </c>
      <c r="J76" s="2" t="s">
        <v>41</v>
      </c>
      <c r="K76" s="17">
        <v>45834</v>
      </c>
      <c r="L76" s="2" t="s">
        <v>26</v>
      </c>
      <c r="N76" s="7">
        <f t="shared" si="2"/>
        <v>46198</v>
      </c>
      <c r="O76" s="2" t="s">
        <v>164</v>
      </c>
      <c r="P76" s="2">
        <v>12</v>
      </c>
      <c r="Q76" s="2">
        <f ca="1" t="shared" si="3"/>
        <v>232</v>
      </c>
    </row>
    <row r="77" spans="1:17">
      <c r="A77" s="4">
        <v>70</v>
      </c>
      <c r="B77" s="2" t="s">
        <v>249</v>
      </c>
      <c r="C77" s="2" t="s">
        <v>108</v>
      </c>
      <c r="D77" s="5" t="s">
        <v>250</v>
      </c>
      <c r="J77" s="2" t="s">
        <v>23</v>
      </c>
      <c r="K77" s="17"/>
      <c r="L77" s="2" t="s">
        <v>42</v>
      </c>
      <c r="N77" s="7" t="str">
        <f t="shared" si="2"/>
        <v/>
      </c>
      <c r="O77" s="2" t="s">
        <v>164</v>
      </c>
      <c r="P77" s="2">
        <v>12</v>
      </c>
      <c r="Q77" s="2" t="str">
        <f ca="1" t="shared" si="3"/>
        <v>/</v>
      </c>
    </row>
    <row r="78" spans="1:17">
      <c r="A78" s="4"/>
      <c r="B78" s="2" t="s">
        <v>249</v>
      </c>
      <c r="C78" s="2" t="s">
        <v>108</v>
      </c>
      <c r="D78" s="5" t="s">
        <v>251</v>
      </c>
      <c r="J78" s="2" t="s">
        <v>23</v>
      </c>
      <c r="K78" s="17"/>
      <c r="N78" s="7" t="str">
        <f t="shared" si="2"/>
        <v/>
      </c>
      <c r="O78" s="2" t="s">
        <v>164</v>
      </c>
      <c r="P78" s="2">
        <v>12</v>
      </c>
      <c r="Q78" s="2" t="str">
        <f ca="1" t="shared" si="3"/>
        <v>/</v>
      </c>
    </row>
    <row r="79" spans="1:17">
      <c r="A79" s="4"/>
      <c r="B79" s="2" t="s">
        <v>249</v>
      </c>
      <c r="C79" s="2" t="s">
        <v>108</v>
      </c>
      <c r="D79" s="5" t="s">
        <v>252</v>
      </c>
      <c r="J79" s="2" t="s">
        <v>23</v>
      </c>
      <c r="K79" s="17"/>
      <c r="N79" s="7" t="str">
        <f t="shared" si="2"/>
        <v/>
      </c>
      <c r="O79" s="2" t="s">
        <v>164</v>
      </c>
      <c r="P79" s="2">
        <v>12</v>
      </c>
      <c r="Q79" s="2" t="str">
        <f ca="1" t="shared" si="3"/>
        <v>/</v>
      </c>
    </row>
    <row r="80" spans="1:17">
      <c r="A80" s="4"/>
      <c r="B80" s="2" t="s">
        <v>249</v>
      </c>
      <c r="C80" s="2" t="s">
        <v>108</v>
      </c>
      <c r="D80" s="5" t="s">
        <v>253</v>
      </c>
      <c r="J80" s="2" t="s">
        <v>23</v>
      </c>
      <c r="K80" s="17"/>
      <c r="N80" s="7" t="str">
        <f t="shared" si="2"/>
        <v/>
      </c>
      <c r="O80" s="2" t="s">
        <v>164</v>
      </c>
      <c r="P80" s="2">
        <v>12</v>
      </c>
      <c r="Q80" s="2" t="str">
        <f ca="1" t="shared" si="3"/>
        <v>/</v>
      </c>
    </row>
    <row r="81" spans="1:17">
      <c r="A81" s="4">
        <v>71</v>
      </c>
      <c r="B81" s="2" t="s">
        <v>254</v>
      </c>
      <c r="D81" s="5" t="s">
        <v>255</v>
      </c>
      <c r="J81" s="2" t="s">
        <v>25</v>
      </c>
      <c r="K81" s="17"/>
      <c r="L81" s="2" t="s">
        <v>42</v>
      </c>
      <c r="N81" s="7" t="str">
        <f t="shared" si="2"/>
        <v/>
      </c>
      <c r="O81" s="2" t="s">
        <v>164</v>
      </c>
      <c r="P81" s="2">
        <v>12</v>
      </c>
      <c r="Q81" s="2" t="str">
        <f ca="1" t="shared" si="3"/>
        <v>/</v>
      </c>
    </row>
    <row r="82" s="9" customFormat="1" spans="1:17">
      <c r="A82" s="5">
        <v>118</v>
      </c>
      <c r="B82" s="9" t="s">
        <v>256</v>
      </c>
      <c r="D82" s="5" t="s">
        <v>257</v>
      </c>
      <c r="F82" s="9" t="s">
        <v>258</v>
      </c>
      <c r="G82" s="9" t="s">
        <v>23</v>
      </c>
      <c r="J82" s="2" t="s">
        <v>41</v>
      </c>
      <c r="K82" s="17"/>
      <c r="L82" s="9" t="s">
        <v>42</v>
      </c>
      <c r="N82" s="7" t="str">
        <f t="shared" si="2"/>
        <v/>
      </c>
      <c r="O82" s="2" t="s">
        <v>164</v>
      </c>
      <c r="P82" s="2">
        <v>12</v>
      </c>
      <c r="Q82" s="2" t="str">
        <f ca="1" t="shared" si="3"/>
        <v>/</v>
      </c>
    </row>
    <row r="83" spans="1:17">
      <c r="A83" s="4">
        <v>122</v>
      </c>
      <c r="B83" s="2" t="s">
        <v>256</v>
      </c>
      <c r="D83" s="5" t="s">
        <v>259</v>
      </c>
      <c r="F83" s="2" t="s">
        <v>258</v>
      </c>
      <c r="G83" s="2" t="s">
        <v>23</v>
      </c>
      <c r="J83" s="2" t="s">
        <v>41</v>
      </c>
      <c r="K83" s="17"/>
      <c r="L83" s="2" t="s">
        <v>42</v>
      </c>
      <c r="N83" s="7" t="str">
        <f t="shared" si="2"/>
        <v/>
      </c>
      <c r="O83" s="2" t="s">
        <v>164</v>
      </c>
      <c r="P83" s="2">
        <v>12</v>
      </c>
      <c r="Q83" s="2" t="str">
        <f ca="1" t="shared" si="3"/>
        <v>/</v>
      </c>
    </row>
    <row r="84" spans="1:17">
      <c r="A84" s="4">
        <v>120</v>
      </c>
      <c r="B84" s="2" t="s">
        <v>256</v>
      </c>
      <c r="D84" s="5" t="s">
        <v>260</v>
      </c>
      <c r="F84" s="2" t="s">
        <v>261</v>
      </c>
      <c r="G84" s="2" t="s">
        <v>23</v>
      </c>
      <c r="J84" s="2" t="s">
        <v>41</v>
      </c>
      <c r="K84" s="17"/>
      <c r="L84" s="2" t="s">
        <v>42</v>
      </c>
      <c r="N84" s="7" t="str">
        <f t="shared" si="2"/>
        <v/>
      </c>
      <c r="O84" s="2" t="s">
        <v>164</v>
      </c>
      <c r="P84" s="2">
        <v>12</v>
      </c>
      <c r="Q84" s="2" t="str">
        <f ca="1" t="shared" si="3"/>
        <v>/</v>
      </c>
    </row>
    <row r="85" spans="1:17">
      <c r="A85" s="4">
        <v>119</v>
      </c>
      <c r="B85" s="2" t="s">
        <v>256</v>
      </c>
      <c r="D85" s="5" t="s">
        <v>262</v>
      </c>
      <c r="F85" s="2" t="s">
        <v>263</v>
      </c>
      <c r="J85" s="2" t="s">
        <v>41</v>
      </c>
      <c r="K85" s="17"/>
      <c r="L85" s="2" t="s">
        <v>42</v>
      </c>
      <c r="N85" s="7" t="str">
        <f t="shared" si="2"/>
        <v/>
      </c>
      <c r="O85" s="2" t="s">
        <v>164</v>
      </c>
      <c r="P85" s="2">
        <v>12</v>
      </c>
      <c r="Q85" s="2" t="str">
        <f ca="1" t="shared" si="3"/>
        <v>/</v>
      </c>
    </row>
    <row r="86" spans="1:17">
      <c r="A86" s="4">
        <v>121</v>
      </c>
      <c r="B86" s="2" t="s">
        <v>256</v>
      </c>
      <c r="D86" s="5" t="s">
        <v>264</v>
      </c>
      <c r="F86" s="2" t="s">
        <v>263</v>
      </c>
      <c r="G86" s="2" t="s">
        <v>23</v>
      </c>
      <c r="J86" s="2" t="s">
        <v>41</v>
      </c>
      <c r="K86" s="17"/>
      <c r="L86" s="2" t="s">
        <v>42</v>
      </c>
      <c r="N86" s="7" t="str">
        <f t="shared" si="2"/>
        <v/>
      </c>
      <c r="O86" s="2" t="s">
        <v>164</v>
      </c>
      <c r="P86" s="2">
        <v>12</v>
      </c>
      <c r="Q86" s="2" t="str">
        <f ca="1" t="shared" si="3"/>
        <v>/</v>
      </c>
    </row>
    <row r="87" ht="14.25" spans="1:17">
      <c r="A87" s="4">
        <v>72</v>
      </c>
      <c r="B87" s="8" t="s">
        <v>265</v>
      </c>
      <c r="D87" s="5" t="s">
        <v>266</v>
      </c>
      <c r="F87" s="2" t="s">
        <v>23</v>
      </c>
      <c r="G87" s="2" t="s">
        <v>23</v>
      </c>
      <c r="J87" s="2" t="s">
        <v>25</v>
      </c>
      <c r="K87" s="17">
        <v>45834</v>
      </c>
      <c r="L87" s="2" t="s">
        <v>42</v>
      </c>
      <c r="N87" s="7">
        <f t="shared" si="2"/>
        <v>46198</v>
      </c>
      <c r="O87" s="2" t="s">
        <v>164</v>
      </c>
      <c r="P87" s="2">
        <v>12</v>
      </c>
      <c r="Q87" s="2">
        <f ca="1" t="shared" si="3"/>
        <v>232</v>
      </c>
    </row>
    <row r="88" s="1" customFormat="1" ht="14.25" spans="1:17">
      <c r="A88" s="3">
        <v>74</v>
      </c>
      <c r="B88" s="20" t="s">
        <v>267</v>
      </c>
      <c r="C88" s="1" t="s">
        <v>268</v>
      </c>
      <c r="D88" s="3" t="s">
        <v>269</v>
      </c>
      <c r="F88" s="1" t="s">
        <v>23</v>
      </c>
      <c r="G88" s="1" t="s">
        <v>23</v>
      </c>
      <c r="J88" s="2" t="s">
        <v>25</v>
      </c>
      <c r="K88" s="17">
        <v>45834</v>
      </c>
      <c r="L88" s="1" t="s">
        <v>26</v>
      </c>
      <c r="N88" s="7">
        <f t="shared" si="2"/>
        <v>46198</v>
      </c>
      <c r="O88" s="1" t="s">
        <v>270</v>
      </c>
      <c r="P88" s="2">
        <v>12</v>
      </c>
      <c r="Q88" s="2">
        <f ca="1" t="shared" si="3"/>
        <v>232</v>
      </c>
    </row>
    <row r="89" spans="1:17">
      <c r="A89" s="4">
        <v>73</v>
      </c>
      <c r="B89" s="8" t="s">
        <v>271</v>
      </c>
      <c r="D89" s="5" t="s">
        <v>272</v>
      </c>
      <c r="F89" s="2" t="s">
        <v>23</v>
      </c>
      <c r="G89" s="2" t="s">
        <v>23</v>
      </c>
      <c r="J89" s="2" t="s">
        <v>25</v>
      </c>
      <c r="K89" s="17"/>
      <c r="L89" s="2" t="s">
        <v>42</v>
      </c>
      <c r="N89" s="7" t="str">
        <f t="shared" si="2"/>
        <v/>
      </c>
      <c r="O89" s="2" t="s">
        <v>270</v>
      </c>
      <c r="P89" s="2">
        <v>12</v>
      </c>
      <c r="Q89" s="2" t="str">
        <f ca="1" t="shared" si="3"/>
        <v>/</v>
      </c>
    </row>
    <row r="90" spans="1:17">
      <c r="A90" s="4">
        <v>75</v>
      </c>
      <c r="B90" s="2" t="s">
        <v>273</v>
      </c>
      <c r="C90" s="2" t="s">
        <v>274</v>
      </c>
      <c r="D90" s="5" t="s">
        <v>275</v>
      </c>
      <c r="G90" s="2" t="s">
        <v>276</v>
      </c>
      <c r="H90" s="2" t="s">
        <v>277</v>
      </c>
      <c r="J90" s="2" t="s">
        <v>41</v>
      </c>
      <c r="K90" s="17">
        <v>45834</v>
      </c>
      <c r="L90" s="2" t="s">
        <v>26</v>
      </c>
      <c r="N90" s="7">
        <f t="shared" si="2"/>
        <v>46198</v>
      </c>
      <c r="O90" s="2" t="s">
        <v>270</v>
      </c>
      <c r="P90" s="2">
        <v>12</v>
      </c>
      <c r="Q90" s="2">
        <f ca="1" t="shared" si="3"/>
        <v>232</v>
      </c>
    </row>
    <row r="91" spans="1:17">
      <c r="A91" s="4">
        <v>76</v>
      </c>
      <c r="B91" s="2" t="s">
        <v>61</v>
      </c>
      <c r="C91" s="2" t="s">
        <v>278</v>
      </c>
      <c r="D91" s="5" t="s">
        <v>279</v>
      </c>
      <c r="F91" s="2" t="s">
        <v>280</v>
      </c>
      <c r="G91" s="2" t="s">
        <v>281</v>
      </c>
      <c r="J91" s="2" t="s">
        <v>41</v>
      </c>
      <c r="K91" s="17"/>
      <c r="L91" s="2" t="s">
        <v>42</v>
      </c>
      <c r="N91" s="7" t="str">
        <f t="shared" si="2"/>
        <v/>
      </c>
      <c r="O91" s="2" t="s">
        <v>270</v>
      </c>
      <c r="P91" s="2">
        <v>12</v>
      </c>
      <c r="Q91" s="2" t="str">
        <f ca="1" t="shared" si="3"/>
        <v>/</v>
      </c>
    </row>
    <row r="92" spans="1:17">
      <c r="A92" s="4">
        <v>77</v>
      </c>
      <c r="B92" s="2" t="s">
        <v>191</v>
      </c>
      <c r="C92" s="2" t="s">
        <v>192</v>
      </c>
      <c r="D92" s="5" t="s">
        <v>282</v>
      </c>
      <c r="F92" s="2" t="s">
        <v>194</v>
      </c>
      <c r="J92" s="2" t="s">
        <v>25</v>
      </c>
      <c r="K92" s="17"/>
      <c r="L92" s="2" t="s">
        <v>42</v>
      </c>
      <c r="N92" s="7" t="str">
        <f t="shared" si="2"/>
        <v/>
      </c>
      <c r="O92" s="2" t="s">
        <v>270</v>
      </c>
      <c r="P92" s="2">
        <v>12</v>
      </c>
      <c r="Q92" s="2" t="str">
        <f ca="1" t="shared" si="3"/>
        <v>/</v>
      </c>
    </row>
    <row r="93" spans="1:17">
      <c r="A93" s="4">
        <v>78</v>
      </c>
      <c r="B93" s="2" t="s">
        <v>189</v>
      </c>
      <c r="D93" s="5" t="s">
        <v>283</v>
      </c>
      <c r="J93" s="2" t="s">
        <v>25</v>
      </c>
      <c r="K93" s="17"/>
      <c r="L93" s="2" t="s">
        <v>42</v>
      </c>
      <c r="N93" s="7" t="str">
        <f t="shared" si="2"/>
        <v/>
      </c>
      <c r="O93" s="2" t="s">
        <v>270</v>
      </c>
      <c r="P93" s="2">
        <v>12</v>
      </c>
      <c r="Q93" s="2" t="str">
        <f ca="1" t="shared" si="3"/>
        <v>/</v>
      </c>
    </row>
    <row r="94" spans="1:17">
      <c r="A94" s="4">
        <v>79</v>
      </c>
      <c r="B94" s="2" t="s">
        <v>284</v>
      </c>
      <c r="C94" s="2" t="s">
        <v>285</v>
      </c>
      <c r="D94" s="5" t="s">
        <v>286</v>
      </c>
      <c r="J94" s="2" t="s">
        <v>41</v>
      </c>
      <c r="K94" s="17"/>
      <c r="L94" s="2" t="s">
        <v>42</v>
      </c>
      <c r="N94" s="7" t="str">
        <f t="shared" si="2"/>
        <v/>
      </c>
      <c r="O94" s="2" t="s">
        <v>270</v>
      </c>
      <c r="P94" s="2">
        <v>12</v>
      </c>
      <c r="Q94" s="2" t="str">
        <f ca="1" t="shared" si="3"/>
        <v>/</v>
      </c>
    </row>
    <row r="95" spans="1:17">
      <c r="A95" s="4">
        <v>80</v>
      </c>
      <c r="B95" s="2" t="s">
        <v>128</v>
      </c>
      <c r="C95" s="2" t="s">
        <v>287</v>
      </c>
      <c r="D95" s="5" t="s">
        <v>288</v>
      </c>
      <c r="F95" s="2" t="s">
        <v>289</v>
      </c>
      <c r="G95" s="2" t="s">
        <v>290</v>
      </c>
      <c r="J95" s="2" t="s">
        <v>41</v>
      </c>
      <c r="K95" s="17"/>
      <c r="L95" s="2" t="s">
        <v>42</v>
      </c>
      <c r="N95" s="7" t="str">
        <f t="shared" si="2"/>
        <v/>
      </c>
      <c r="O95" s="2" t="s">
        <v>270</v>
      </c>
      <c r="P95" s="2">
        <v>12</v>
      </c>
      <c r="Q95" s="2" t="str">
        <f ca="1" t="shared" si="3"/>
        <v>/</v>
      </c>
    </row>
    <row r="96" spans="1:17">
      <c r="A96" s="4">
        <v>81</v>
      </c>
      <c r="B96" s="2" t="s">
        <v>291</v>
      </c>
      <c r="C96" s="2" t="s">
        <v>292</v>
      </c>
      <c r="D96" s="5" t="s">
        <v>293</v>
      </c>
      <c r="J96" s="2" t="s">
        <v>23</v>
      </c>
      <c r="K96" s="17"/>
      <c r="L96" s="2" t="s">
        <v>42</v>
      </c>
      <c r="N96" s="7" t="str">
        <f t="shared" si="2"/>
        <v/>
      </c>
      <c r="O96" s="2" t="s">
        <v>270</v>
      </c>
      <c r="P96" s="2">
        <v>12</v>
      </c>
      <c r="Q96" s="2" t="str">
        <f ca="1" t="shared" si="3"/>
        <v>/</v>
      </c>
    </row>
    <row r="97" spans="1:17">
      <c r="A97" s="4">
        <v>82</v>
      </c>
      <c r="B97" s="2" t="s">
        <v>294</v>
      </c>
      <c r="C97" s="2" t="s">
        <v>295</v>
      </c>
      <c r="D97" s="5" t="s">
        <v>296</v>
      </c>
      <c r="F97" s="2" t="s">
        <v>23</v>
      </c>
      <c r="G97" s="2" t="s">
        <v>23</v>
      </c>
      <c r="J97" s="2" t="s">
        <v>25</v>
      </c>
      <c r="K97" s="17">
        <v>45834</v>
      </c>
      <c r="L97" s="2" t="s">
        <v>26</v>
      </c>
      <c r="N97" s="7">
        <f t="shared" si="2"/>
        <v>46198</v>
      </c>
      <c r="O97" s="2" t="s">
        <v>270</v>
      </c>
      <c r="P97" s="2">
        <v>12</v>
      </c>
      <c r="Q97" s="2">
        <f ca="1" t="shared" si="3"/>
        <v>232</v>
      </c>
    </row>
    <row r="98" spans="1:17">
      <c r="A98" s="4">
        <v>83</v>
      </c>
      <c r="B98" s="2" t="s">
        <v>297</v>
      </c>
      <c r="C98" s="2" t="s">
        <v>298</v>
      </c>
      <c r="D98" s="5" t="s">
        <v>299</v>
      </c>
      <c r="F98" s="2" t="s">
        <v>23</v>
      </c>
      <c r="G98" s="2" t="s">
        <v>23</v>
      </c>
      <c r="J98" s="2" t="s">
        <v>25</v>
      </c>
      <c r="K98" s="17">
        <v>45834</v>
      </c>
      <c r="L98" s="2" t="s">
        <v>26</v>
      </c>
      <c r="N98" s="7">
        <f t="shared" si="2"/>
        <v>46198</v>
      </c>
      <c r="O98" s="2" t="s">
        <v>270</v>
      </c>
      <c r="P98" s="2">
        <v>12</v>
      </c>
      <c r="Q98" s="2">
        <f ca="1" t="shared" si="3"/>
        <v>232</v>
      </c>
    </row>
    <row r="99" spans="1:17">
      <c r="A99" s="4">
        <v>84</v>
      </c>
      <c r="B99" s="2" t="s">
        <v>300</v>
      </c>
      <c r="D99" s="5" t="s">
        <v>301</v>
      </c>
      <c r="F99" s="2" t="s">
        <v>23</v>
      </c>
      <c r="G99" s="2" t="s">
        <v>23</v>
      </c>
      <c r="J99" s="2" t="s">
        <v>25</v>
      </c>
      <c r="K99" s="17">
        <v>45834</v>
      </c>
      <c r="L99" s="2" t="s">
        <v>26</v>
      </c>
      <c r="N99" s="7">
        <f t="shared" si="2"/>
        <v>46198</v>
      </c>
      <c r="O99" s="2" t="s">
        <v>270</v>
      </c>
      <c r="P99" s="2">
        <v>12</v>
      </c>
      <c r="Q99" s="2">
        <f ca="1" t="shared" si="3"/>
        <v>232</v>
      </c>
    </row>
    <row r="100" spans="1:17">
      <c r="A100" s="4">
        <v>85</v>
      </c>
      <c r="B100" s="2" t="s">
        <v>302</v>
      </c>
      <c r="C100" s="2" t="s">
        <v>303</v>
      </c>
      <c r="D100" s="5" t="s">
        <v>304</v>
      </c>
      <c r="F100" s="2" t="s">
        <v>23</v>
      </c>
      <c r="G100" s="2" t="s">
        <v>23</v>
      </c>
      <c r="J100" s="2" t="s">
        <v>25</v>
      </c>
      <c r="K100" s="17">
        <v>45835</v>
      </c>
      <c r="L100" s="2" t="s">
        <v>26</v>
      </c>
      <c r="N100" s="7">
        <f t="shared" si="2"/>
        <v>46199</v>
      </c>
      <c r="O100" s="2" t="s">
        <v>270</v>
      </c>
      <c r="P100" s="2">
        <v>12</v>
      </c>
      <c r="Q100" s="2">
        <f ca="1" t="shared" si="3"/>
        <v>233</v>
      </c>
    </row>
    <row r="101" spans="1:17">
      <c r="A101" s="4">
        <v>86</v>
      </c>
      <c r="B101" s="2" t="s">
        <v>305</v>
      </c>
      <c r="C101" s="2" t="s">
        <v>306</v>
      </c>
      <c r="D101" s="5" t="s">
        <v>307</v>
      </c>
      <c r="F101" s="2" t="s">
        <v>23</v>
      </c>
      <c r="G101" s="2" t="s">
        <v>23</v>
      </c>
      <c r="J101" s="2" t="s">
        <v>25</v>
      </c>
      <c r="K101" s="17">
        <v>45834</v>
      </c>
      <c r="L101" s="2" t="s">
        <v>26</v>
      </c>
      <c r="N101" s="7">
        <f t="shared" si="2"/>
        <v>46198</v>
      </c>
      <c r="O101" s="2" t="s">
        <v>270</v>
      </c>
      <c r="P101" s="2">
        <v>12</v>
      </c>
      <c r="Q101" s="2">
        <f ca="1" t="shared" si="3"/>
        <v>232</v>
      </c>
    </row>
    <row r="102" spans="1:17">
      <c r="A102" s="4">
        <v>87</v>
      </c>
      <c r="B102" s="2" t="s">
        <v>308</v>
      </c>
      <c r="C102" s="2" t="s">
        <v>309</v>
      </c>
      <c r="D102" s="5" t="s">
        <v>310</v>
      </c>
      <c r="F102" s="2" t="s">
        <v>23</v>
      </c>
      <c r="G102" s="2" t="s">
        <v>23</v>
      </c>
      <c r="J102" s="2" t="s">
        <v>25</v>
      </c>
      <c r="K102" s="17">
        <v>45834</v>
      </c>
      <c r="L102" s="2" t="s">
        <v>26</v>
      </c>
      <c r="N102" s="7">
        <f t="shared" si="2"/>
        <v>46198</v>
      </c>
      <c r="O102" s="2" t="s">
        <v>270</v>
      </c>
      <c r="P102" s="2">
        <v>12</v>
      </c>
      <c r="Q102" s="2">
        <f ca="1" t="shared" si="3"/>
        <v>232</v>
      </c>
    </row>
    <row r="103" spans="1:17">
      <c r="A103" s="4">
        <v>88</v>
      </c>
      <c r="B103" s="2" t="s">
        <v>311</v>
      </c>
      <c r="C103" s="2" t="s">
        <v>312</v>
      </c>
      <c r="D103" s="5" t="s">
        <v>313</v>
      </c>
      <c r="F103" s="2" t="s">
        <v>23</v>
      </c>
      <c r="G103" s="2" t="s">
        <v>23</v>
      </c>
      <c r="J103" s="2" t="s">
        <v>25</v>
      </c>
      <c r="K103" s="17">
        <v>45834</v>
      </c>
      <c r="L103" s="2" t="s">
        <v>26</v>
      </c>
      <c r="N103" s="7">
        <f t="shared" si="2"/>
        <v>46198</v>
      </c>
      <c r="O103" s="2" t="s">
        <v>270</v>
      </c>
      <c r="P103" s="2">
        <v>12</v>
      </c>
      <c r="Q103" s="2">
        <f ca="1" t="shared" si="3"/>
        <v>232</v>
      </c>
    </row>
    <row r="104" spans="1:17">
      <c r="A104" s="4">
        <v>89</v>
      </c>
      <c r="B104" s="2" t="s">
        <v>314</v>
      </c>
      <c r="D104" s="5" t="s">
        <v>315</v>
      </c>
      <c r="F104" s="2" t="s">
        <v>23</v>
      </c>
      <c r="G104" s="2" t="s">
        <v>23</v>
      </c>
      <c r="H104" s="2" t="s">
        <v>316</v>
      </c>
      <c r="J104" s="2" t="s">
        <v>25</v>
      </c>
      <c r="K104" s="17">
        <v>45834</v>
      </c>
      <c r="L104" s="2" t="s">
        <v>26</v>
      </c>
      <c r="N104" s="7">
        <f t="shared" si="2"/>
        <v>46198</v>
      </c>
      <c r="O104" s="2" t="s">
        <v>270</v>
      </c>
      <c r="P104" s="2">
        <v>12</v>
      </c>
      <c r="Q104" s="2">
        <f ca="1" t="shared" si="3"/>
        <v>232</v>
      </c>
    </row>
    <row r="105" spans="1:17">
      <c r="A105" s="4">
        <v>90</v>
      </c>
      <c r="B105" s="2" t="s">
        <v>317</v>
      </c>
      <c r="C105" s="2" t="s">
        <v>318</v>
      </c>
      <c r="D105" s="5" t="s">
        <v>319</v>
      </c>
      <c r="H105" s="2" t="s">
        <v>320</v>
      </c>
      <c r="J105" s="2" t="s">
        <v>25</v>
      </c>
      <c r="K105" s="17"/>
      <c r="L105" s="2" t="s">
        <v>42</v>
      </c>
      <c r="N105" s="7" t="str">
        <f t="shared" si="2"/>
        <v/>
      </c>
      <c r="O105" s="2" t="s">
        <v>270</v>
      </c>
      <c r="P105" s="2">
        <v>12</v>
      </c>
      <c r="Q105" s="2" t="str">
        <f ca="1" t="shared" si="3"/>
        <v>/</v>
      </c>
    </row>
    <row r="106" spans="1:17">
      <c r="A106" s="4">
        <v>91</v>
      </c>
      <c r="B106" s="2" t="s">
        <v>317</v>
      </c>
      <c r="C106" s="2" t="s">
        <v>321</v>
      </c>
      <c r="D106" s="5" t="s">
        <v>322</v>
      </c>
      <c r="H106" s="2" t="s">
        <v>320</v>
      </c>
      <c r="J106" s="2" t="s">
        <v>25</v>
      </c>
      <c r="K106" s="17"/>
      <c r="L106" s="2" t="s">
        <v>42</v>
      </c>
      <c r="N106" s="7" t="str">
        <f t="shared" si="2"/>
        <v/>
      </c>
      <c r="O106" s="2" t="s">
        <v>270</v>
      </c>
      <c r="P106" s="2">
        <v>12</v>
      </c>
      <c r="Q106" s="2" t="str">
        <f ca="1" t="shared" si="3"/>
        <v>/</v>
      </c>
    </row>
    <row r="107" ht="14.25" spans="1:17">
      <c r="A107" s="4">
        <v>92</v>
      </c>
      <c r="B107" s="2" t="s">
        <v>317</v>
      </c>
      <c r="C107" s="2" t="s">
        <v>323</v>
      </c>
      <c r="D107" s="5" t="s">
        <v>324</v>
      </c>
      <c r="H107" s="2" t="s">
        <v>320</v>
      </c>
      <c r="J107" s="2" t="s">
        <v>25</v>
      </c>
      <c r="K107" s="17"/>
      <c r="L107" s="2" t="s">
        <v>42</v>
      </c>
      <c r="N107" s="7" t="str">
        <f t="shared" si="2"/>
        <v/>
      </c>
      <c r="O107" s="2" t="s">
        <v>270</v>
      </c>
      <c r="P107" s="2">
        <v>12</v>
      </c>
      <c r="Q107" s="2" t="str">
        <f ca="1" t="shared" si="3"/>
        <v>/</v>
      </c>
    </row>
    <row r="108" s="1" customFormat="1" ht="14.25" spans="1:17">
      <c r="A108" s="3">
        <v>93</v>
      </c>
      <c r="B108" s="1" t="s">
        <v>325</v>
      </c>
      <c r="C108" s="1" t="s">
        <v>326</v>
      </c>
      <c r="D108" s="3" t="s">
        <v>327</v>
      </c>
      <c r="F108" s="1" t="s">
        <v>23</v>
      </c>
      <c r="G108" s="1" t="s">
        <v>23</v>
      </c>
      <c r="J108" s="2" t="s">
        <v>25</v>
      </c>
      <c r="K108" s="17">
        <v>45834</v>
      </c>
      <c r="L108" s="1" t="s">
        <v>26</v>
      </c>
      <c r="N108" s="7">
        <f t="shared" si="2"/>
        <v>46198</v>
      </c>
      <c r="O108" s="1" t="s">
        <v>328</v>
      </c>
      <c r="P108" s="2">
        <v>12</v>
      </c>
      <c r="Q108" s="2">
        <f ca="1" t="shared" si="3"/>
        <v>232</v>
      </c>
    </row>
    <row r="109" spans="1:17">
      <c r="A109" s="4">
        <v>94</v>
      </c>
      <c r="B109" s="2" t="s">
        <v>329</v>
      </c>
      <c r="C109" s="2" t="s">
        <v>330</v>
      </c>
      <c r="D109" s="5" t="s">
        <v>331</v>
      </c>
      <c r="F109" s="2" t="s">
        <v>23</v>
      </c>
      <c r="G109" s="2" t="s">
        <v>23</v>
      </c>
      <c r="J109" s="2" t="s">
        <v>25</v>
      </c>
      <c r="K109" s="17">
        <v>45834</v>
      </c>
      <c r="L109" s="2" t="s">
        <v>26</v>
      </c>
      <c r="N109" s="7">
        <f t="shared" si="2"/>
        <v>46198</v>
      </c>
      <c r="O109" s="2" t="s">
        <v>328</v>
      </c>
      <c r="P109" s="2">
        <v>12</v>
      </c>
      <c r="Q109" s="2">
        <f ca="1" t="shared" si="3"/>
        <v>232</v>
      </c>
    </row>
    <row r="110" spans="1:17">
      <c r="A110" s="4">
        <v>95</v>
      </c>
      <c r="B110" s="2" t="s">
        <v>332</v>
      </c>
      <c r="C110" s="2" t="s">
        <v>333</v>
      </c>
      <c r="D110" s="5" t="s">
        <v>334</v>
      </c>
      <c r="F110" s="2" t="s">
        <v>23</v>
      </c>
      <c r="G110" s="2" t="s">
        <v>23</v>
      </c>
      <c r="J110" s="2" t="s">
        <v>25</v>
      </c>
      <c r="K110" s="17">
        <v>45834</v>
      </c>
      <c r="L110" s="2" t="s">
        <v>26</v>
      </c>
      <c r="N110" s="7">
        <f t="shared" si="2"/>
        <v>46198</v>
      </c>
      <c r="O110" s="2" t="s">
        <v>328</v>
      </c>
      <c r="P110" s="2">
        <v>12</v>
      </c>
      <c r="Q110" s="2">
        <f ca="1" t="shared" si="3"/>
        <v>232</v>
      </c>
    </row>
    <row r="111" spans="1:17">
      <c r="A111" s="4">
        <v>96</v>
      </c>
      <c r="B111" s="2" t="s">
        <v>335</v>
      </c>
      <c r="C111" s="2" t="s">
        <v>336</v>
      </c>
      <c r="D111" s="5" t="s">
        <v>337</v>
      </c>
      <c r="E111" s="2" t="s">
        <v>338</v>
      </c>
      <c r="F111" s="2" t="s">
        <v>339</v>
      </c>
      <c r="G111" s="2" t="s">
        <v>23</v>
      </c>
      <c r="H111" s="2" t="s">
        <v>340</v>
      </c>
      <c r="J111" s="2" t="s">
        <v>41</v>
      </c>
      <c r="K111" s="17">
        <v>45834</v>
      </c>
      <c r="L111" s="2" t="s">
        <v>26</v>
      </c>
      <c r="N111" s="7">
        <f t="shared" si="2"/>
        <v>46198</v>
      </c>
      <c r="O111" s="2" t="s">
        <v>328</v>
      </c>
      <c r="P111" s="2">
        <v>12</v>
      </c>
      <c r="Q111" s="2">
        <f ca="1" t="shared" si="3"/>
        <v>232</v>
      </c>
    </row>
    <row r="112" spans="1:17">
      <c r="A112" s="4">
        <v>97</v>
      </c>
      <c r="B112" s="2" t="s">
        <v>335</v>
      </c>
      <c r="C112" s="2" t="s">
        <v>341</v>
      </c>
      <c r="D112" s="5" t="s">
        <v>342</v>
      </c>
      <c r="E112" s="2" t="s">
        <v>343</v>
      </c>
      <c r="F112" s="2" t="s">
        <v>344</v>
      </c>
      <c r="G112" s="2" t="s">
        <v>23</v>
      </c>
      <c r="H112" s="2" t="s">
        <v>340</v>
      </c>
      <c r="J112" s="2" t="s">
        <v>41</v>
      </c>
      <c r="K112" s="17">
        <v>45834</v>
      </c>
      <c r="L112" s="2" t="s">
        <v>26</v>
      </c>
      <c r="N112" s="7">
        <f t="shared" si="2"/>
        <v>46198</v>
      </c>
      <c r="O112" s="2" t="s">
        <v>328</v>
      </c>
      <c r="P112" s="2">
        <v>12</v>
      </c>
      <c r="Q112" s="2">
        <f ca="1" t="shared" si="3"/>
        <v>232</v>
      </c>
    </row>
    <row r="113" spans="1:17">
      <c r="A113" s="4">
        <v>98</v>
      </c>
      <c r="B113" s="2" t="s">
        <v>335</v>
      </c>
      <c r="C113" s="2" t="s">
        <v>345</v>
      </c>
      <c r="D113" s="5" t="s">
        <v>346</v>
      </c>
      <c r="E113" s="2" t="s">
        <v>347</v>
      </c>
      <c r="F113" s="2" t="s">
        <v>348</v>
      </c>
      <c r="G113" s="2" t="s">
        <v>23</v>
      </c>
      <c r="H113" s="2" t="s">
        <v>340</v>
      </c>
      <c r="J113" s="2" t="s">
        <v>41</v>
      </c>
      <c r="K113" s="17">
        <v>45834</v>
      </c>
      <c r="L113" s="2" t="s">
        <v>26</v>
      </c>
      <c r="N113" s="7">
        <f t="shared" si="2"/>
        <v>46198</v>
      </c>
      <c r="O113" s="2" t="s">
        <v>328</v>
      </c>
      <c r="P113" s="2">
        <v>12</v>
      </c>
      <c r="Q113" s="2">
        <f ca="1" t="shared" si="3"/>
        <v>232</v>
      </c>
    </row>
    <row r="114" spans="1:17">
      <c r="A114" s="4">
        <v>99</v>
      </c>
      <c r="B114" s="2" t="s">
        <v>349</v>
      </c>
      <c r="C114" s="2" t="s">
        <v>350</v>
      </c>
      <c r="D114" s="5" t="s">
        <v>351</v>
      </c>
      <c r="E114" s="2" t="s">
        <v>352</v>
      </c>
      <c r="F114" s="2" t="s">
        <v>353</v>
      </c>
      <c r="G114" s="2">
        <v>1</v>
      </c>
      <c r="H114" s="2" t="s">
        <v>340</v>
      </c>
      <c r="J114" s="2" t="s">
        <v>25</v>
      </c>
      <c r="K114" s="17">
        <v>45834</v>
      </c>
      <c r="L114" s="2" t="s">
        <v>26</v>
      </c>
      <c r="N114" s="7">
        <f t="shared" si="2"/>
        <v>46198</v>
      </c>
      <c r="O114" s="2" t="s">
        <v>328</v>
      </c>
      <c r="P114" s="2">
        <v>12</v>
      </c>
      <c r="Q114" s="2">
        <f ca="1" t="shared" si="3"/>
        <v>232</v>
      </c>
    </row>
    <row r="115" spans="1:17">
      <c r="A115" s="4">
        <v>100</v>
      </c>
      <c r="B115" s="2" t="s">
        <v>354</v>
      </c>
      <c r="C115" s="2" t="s">
        <v>355</v>
      </c>
      <c r="D115" s="5" t="s">
        <v>356</v>
      </c>
      <c r="E115" s="2" t="s">
        <v>357</v>
      </c>
      <c r="F115" s="2" t="s">
        <v>23</v>
      </c>
      <c r="G115" s="2" t="s">
        <v>23</v>
      </c>
      <c r="H115" s="2" t="s">
        <v>358</v>
      </c>
      <c r="J115" s="2" t="s">
        <v>25</v>
      </c>
      <c r="K115" s="17">
        <v>45834</v>
      </c>
      <c r="L115" s="2" t="s">
        <v>26</v>
      </c>
      <c r="N115" s="7">
        <f t="shared" si="2"/>
        <v>46198</v>
      </c>
      <c r="O115" s="2" t="s">
        <v>328</v>
      </c>
      <c r="P115" s="2">
        <v>12</v>
      </c>
      <c r="Q115" s="2">
        <f ca="1" t="shared" si="3"/>
        <v>232</v>
      </c>
    </row>
    <row r="116" spans="1:17">
      <c r="A116" s="4">
        <v>101</v>
      </c>
      <c r="B116" s="2" t="s">
        <v>359</v>
      </c>
      <c r="C116" s="2" t="s">
        <v>360</v>
      </c>
      <c r="D116" s="5" t="s">
        <v>361</v>
      </c>
      <c r="E116" s="2">
        <v>2108317</v>
      </c>
      <c r="F116" s="2" t="s">
        <v>362</v>
      </c>
      <c r="G116" s="2">
        <v>1</v>
      </c>
      <c r="H116" s="2" t="s">
        <v>363</v>
      </c>
      <c r="J116" s="2" t="s">
        <v>41</v>
      </c>
      <c r="K116" s="17">
        <v>45834</v>
      </c>
      <c r="L116" s="2" t="s">
        <v>26</v>
      </c>
      <c r="N116" s="7">
        <f t="shared" si="2"/>
        <v>46198</v>
      </c>
      <c r="O116" s="2" t="s">
        <v>328</v>
      </c>
      <c r="P116" s="2">
        <v>12</v>
      </c>
      <c r="Q116" s="2">
        <f ca="1" t="shared" si="3"/>
        <v>232</v>
      </c>
    </row>
    <row r="117" spans="1:17">
      <c r="A117" s="4">
        <v>102</v>
      </c>
      <c r="B117" s="2" t="s">
        <v>364</v>
      </c>
      <c r="C117" s="2" t="s">
        <v>365</v>
      </c>
      <c r="D117" s="5" t="s">
        <v>366</v>
      </c>
      <c r="F117" s="2" t="s">
        <v>365</v>
      </c>
      <c r="G117" s="2" t="s">
        <v>23</v>
      </c>
      <c r="H117" s="2" t="s">
        <v>367</v>
      </c>
      <c r="J117" s="2" t="s">
        <v>41</v>
      </c>
      <c r="K117" s="17">
        <v>45835</v>
      </c>
      <c r="L117" s="2" t="s">
        <v>26</v>
      </c>
      <c r="N117" s="7">
        <f t="shared" si="2"/>
        <v>46199</v>
      </c>
      <c r="O117" s="2" t="s">
        <v>328</v>
      </c>
      <c r="P117" s="2">
        <v>12</v>
      </c>
      <c r="Q117" s="2">
        <f ca="1" t="shared" si="3"/>
        <v>233</v>
      </c>
    </row>
    <row r="118" spans="1:17">
      <c r="A118" s="4">
        <v>103</v>
      </c>
      <c r="B118" s="2" t="s">
        <v>368</v>
      </c>
      <c r="C118" s="2" t="s">
        <v>365</v>
      </c>
      <c r="D118" s="5" t="s">
        <v>369</v>
      </c>
      <c r="F118" s="2" t="s">
        <v>365</v>
      </c>
      <c r="G118" s="2" t="s">
        <v>23</v>
      </c>
      <c r="H118" s="2" t="s">
        <v>367</v>
      </c>
      <c r="J118" s="2" t="s">
        <v>41</v>
      </c>
      <c r="K118" s="17">
        <v>45834</v>
      </c>
      <c r="L118" s="2" t="s">
        <v>26</v>
      </c>
      <c r="N118" s="7">
        <f t="shared" si="2"/>
        <v>46198</v>
      </c>
      <c r="O118" s="2" t="s">
        <v>328</v>
      </c>
      <c r="P118" s="2">
        <v>12</v>
      </c>
      <c r="Q118" s="2">
        <f ca="1" t="shared" si="3"/>
        <v>232</v>
      </c>
    </row>
    <row r="119" spans="1:17">
      <c r="A119" s="4">
        <v>104</v>
      </c>
      <c r="B119" s="2" t="s">
        <v>370</v>
      </c>
      <c r="C119" s="2" t="s">
        <v>371</v>
      </c>
      <c r="D119" s="5" t="s">
        <v>372</v>
      </c>
      <c r="F119" s="2" t="s">
        <v>373</v>
      </c>
      <c r="G119" s="2" t="s">
        <v>290</v>
      </c>
      <c r="H119" s="2" t="s">
        <v>374</v>
      </c>
      <c r="J119" s="2" t="s">
        <v>41</v>
      </c>
      <c r="K119" s="17"/>
      <c r="L119" s="2" t="s">
        <v>42</v>
      </c>
      <c r="N119" s="7" t="str">
        <f t="shared" si="2"/>
        <v/>
      </c>
      <c r="O119" s="2" t="s">
        <v>328</v>
      </c>
      <c r="P119" s="2">
        <v>12</v>
      </c>
      <c r="Q119" s="2" t="str">
        <f ca="1" t="shared" si="3"/>
        <v>/</v>
      </c>
    </row>
    <row r="120" spans="1:17">
      <c r="A120" s="4">
        <v>105</v>
      </c>
      <c r="B120" s="2" t="s">
        <v>375</v>
      </c>
      <c r="C120" s="2" t="s">
        <v>376</v>
      </c>
      <c r="D120" s="5" t="s">
        <v>377</v>
      </c>
      <c r="F120" s="2" t="s">
        <v>378</v>
      </c>
      <c r="J120" s="2" t="s">
        <v>41</v>
      </c>
      <c r="K120" s="17"/>
      <c r="L120" s="2" t="s">
        <v>42</v>
      </c>
      <c r="N120" s="7" t="str">
        <f t="shared" si="2"/>
        <v/>
      </c>
      <c r="O120" s="2" t="s">
        <v>328</v>
      </c>
      <c r="P120" s="2">
        <v>12</v>
      </c>
      <c r="Q120" s="2" t="str">
        <f ca="1" t="shared" si="3"/>
        <v>/</v>
      </c>
    </row>
    <row r="121" spans="1:17">
      <c r="A121" s="4">
        <v>106</v>
      </c>
      <c r="B121" s="2" t="s">
        <v>379</v>
      </c>
      <c r="D121" s="5" t="s">
        <v>380</v>
      </c>
      <c r="F121" s="2" t="s">
        <v>381</v>
      </c>
      <c r="J121" s="2" t="s">
        <v>41</v>
      </c>
      <c r="K121" s="17"/>
      <c r="L121" s="2" t="s">
        <v>42</v>
      </c>
      <c r="N121" s="7" t="str">
        <f t="shared" si="2"/>
        <v/>
      </c>
      <c r="O121" s="2" t="s">
        <v>328</v>
      </c>
      <c r="P121" s="2">
        <v>12</v>
      </c>
      <c r="Q121" s="2" t="str">
        <f ca="1" t="shared" si="3"/>
        <v>/</v>
      </c>
    </row>
    <row r="122" spans="1:17">
      <c r="A122" s="4">
        <v>107</v>
      </c>
      <c r="B122" s="2" t="s">
        <v>382</v>
      </c>
      <c r="C122" s="2" t="s">
        <v>383</v>
      </c>
      <c r="D122" s="5" t="s">
        <v>384</v>
      </c>
      <c r="E122" s="2">
        <v>2107019</v>
      </c>
      <c r="F122" s="2" t="s">
        <v>23</v>
      </c>
      <c r="G122" s="2" t="s">
        <v>23</v>
      </c>
      <c r="H122" s="2" t="s">
        <v>358</v>
      </c>
      <c r="J122" s="2" t="s">
        <v>25</v>
      </c>
      <c r="K122" s="17">
        <v>45834</v>
      </c>
      <c r="L122" s="2" t="s">
        <v>26</v>
      </c>
      <c r="N122" s="7">
        <f t="shared" si="2"/>
        <v>46198</v>
      </c>
      <c r="P122" s="2">
        <v>12</v>
      </c>
      <c r="Q122" s="2">
        <f ca="1" t="shared" si="3"/>
        <v>232</v>
      </c>
    </row>
    <row r="123" spans="1:17">
      <c r="A123" s="4">
        <v>108</v>
      </c>
      <c r="B123" s="2" t="s">
        <v>61</v>
      </c>
      <c r="C123" s="2" t="s">
        <v>385</v>
      </c>
      <c r="D123" s="5" t="s">
        <v>386</v>
      </c>
      <c r="F123" s="2" t="s">
        <v>387</v>
      </c>
      <c r="G123" s="2" t="s">
        <v>137</v>
      </c>
      <c r="J123" s="2" t="s">
        <v>41</v>
      </c>
      <c r="K123" s="17"/>
      <c r="L123" s="2" t="s">
        <v>42</v>
      </c>
      <c r="N123" s="7" t="str">
        <f t="shared" si="2"/>
        <v/>
      </c>
      <c r="O123" s="2" t="s">
        <v>328</v>
      </c>
      <c r="P123" s="2">
        <v>12</v>
      </c>
      <c r="Q123" s="2" t="str">
        <f ca="1" t="shared" si="3"/>
        <v>/</v>
      </c>
    </row>
    <row r="124" spans="1:17">
      <c r="A124" s="4">
        <v>109</v>
      </c>
      <c r="B124" s="2" t="s">
        <v>61</v>
      </c>
      <c r="C124" s="2" t="s">
        <v>62</v>
      </c>
      <c r="D124" s="5" t="s">
        <v>388</v>
      </c>
      <c r="F124" s="2" t="s">
        <v>389</v>
      </c>
      <c r="G124" s="2" t="s">
        <v>137</v>
      </c>
      <c r="J124" s="2" t="s">
        <v>41</v>
      </c>
      <c r="K124" s="17"/>
      <c r="L124" s="2" t="s">
        <v>42</v>
      </c>
      <c r="N124" s="7" t="str">
        <f t="shared" si="2"/>
        <v/>
      </c>
      <c r="O124" s="2" t="s">
        <v>328</v>
      </c>
      <c r="P124" s="2">
        <v>12</v>
      </c>
      <c r="Q124" s="2" t="str">
        <f ca="1" t="shared" si="3"/>
        <v>/</v>
      </c>
    </row>
    <row r="125" spans="1:17">
      <c r="A125" s="4">
        <v>110</v>
      </c>
      <c r="B125" s="2" t="s">
        <v>61</v>
      </c>
      <c r="C125" s="2" t="s">
        <v>67</v>
      </c>
      <c r="D125" s="5" t="s">
        <v>390</v>
      </c>
      <c r="F125" s="2" t="s">
        <v>391</v>
      </c>
      <c r="G125" s="2" t="s">
        <v>392</v>
      </c>
      <c r="J125" s="2" t="s">
        <v>41</v>
      </c>
      <c r="K125" s="17"/>
      <c r="L125" s="2" t="s">
        <v>42</v>
      </c>
      <c r="N125" s="7" t="str">
        <f t="shared" si="2"/>
        <v/>
      </c>
      <c r="O125" s="2" t="s">
        <v>328</v>
      </c>
      <c r="P125" s="2">
        <v>12</v>
      </c>
      <c r="Q125" s="2" t="str">
        <f ca="1" t="shared" si="3"/>
        <v>/</v>
      </c>
    </row>
    <row r="126" spans="1:17">
      <c r="A126" s="4">
        <v>111</v>
      </c>
      <c r="B126" s="2" t="s">
        <v>61</v>
      </c>
      <c r="C126" s="2" t="s">
        <v>393</v>
      </c>
      <c r="D126" s="5" t="s">
        <v>394</v>
      </c>
      <c r="F126" s="2" t="s">
        <v>395</v>
      </c>
      <c r="G126" s="2" t="s">
        <v>137</v>
      </c>
      <c r="J126" s="2" t="s">
        <v>41</v>
      </c>
      <c r="K126" s="17"/>
      <c r="L126" s="2" t="s">
        <v>42</v>
      </c>
      <c r="N126" s="7" t="str">
        <f t="shared" si="2"/>
        <v/>
      </c>
      <c r="O126" s="2" t="s">
        <v>328</v>
      </c>
      <c r="P126" s="2">
        <v>12</v>
      </c>
      <c r="Q126" s="2" t="str">
        <f ca="1" t="shared" si="3"/>
        <v>/</v>
      </c>
    </row>
    <row r="127" spans="1:17">
      <c r="A127" s="4">
        <v>112</v>
      </c>
      <c r="B127" s="2" t="s">
        <v>396</v>
      </c>
      <c r="C127" s="2" t="s">
        <v>397</v>
      </c>
      <c r="D127" s="5" t="s">
        <v>398</v>
      </c>
      <c r="F127" s="2" t="s">
        <v>399</v>
      </c>
      <c r="G127" s="2" t="s">
        <v>137</v>
      </c>
      <c r="J127" s="2" t="s">
        <v>41</v>
      </c>
      <c r="K127" s="17"/>
      <c r="L127" s="2" t="s">
        <v>42</v>
      </c>
      <c r="N127" s="7" t="str">
        <f t="shared" si="2"/>
        <v/>
      </c>
      <c r="O127" s="2" t="s">
        <v>328</v>
      </c>
      <c r="P127" s="2">
        <v>12</v>
      </c>
      <c r="Q127" s="2" t="str">
        <f ca="1" t="shared" si="3"/>
        <v>/</v>
      </c>
    </row>
    <row r="128" spans="1:17">
      <c r="A128" s="4">
        <v>113</v>
      </c>
      <c r="B128" s="2" t="s">
        <v>400</v>
      </c>
      <c r="C128" s="2" t="s">
        <v>401</v>
      </c>
      <c r="D128" s="5" t="s">
        <v>402</v>
      </c>
      <c r="F128" s="2" t="s">
        <v>403</v>
      </c>
      <c r="G128" s="2" t="s">
        <v>404</v>
      </c>
      <c r="J128" s="2" t="s">
        <v>41</v>
      </c>
      <c r="K128" s="17">
        <v>45834</v>
      </c>
      <c r="L128" s="2" t="s">
        <v>26</v>
      </c>
      <c r="N128" s="7">
        <f t="shared" si="2"/>
        <v>46198</v>
      </c>
      <c r="O128" s="2" t="s">
        <v>328</v>
      </c>
      <c r="P128" s="2">
        <v>12</v>
      </c>
      <c r="Q128" s="2">
        <f ca="1" t="shared" si="3"/>
        <v>232</v>
      </c>
    </row>
    <row r="129" ht="14.25" spans="1:17">
      <c r="A129" s="4">
        <v>114</v>
      </c>
      <c r="B129" s="2" t="s">
        <v>61</v>
      </c>
      <c r="C129" s="2" t="s">
        <v>405</v>
      </c>
      <c r="D129" s="5" t="s">
        <v>406</v>
      </c>
      <c r="F129" s="2" t="s">
        <v>407</v>
      </c>
      <c r="G129" s="2" t="s">
        <v>408</v>
      </c>
      <c r="J129" s="2" t="s">
        <v>41</v>
      </c>
      <c r="K129" s="17"/>
      <c r="L129" s="2" t="s">
        <v>42</v>
      </c>
      <c r="N129" s="7" t="str">
        <f t="shared" si="2"/>
        <v/>
      </c>
      <c r="O129" s="2" t="s">
        <v>328</v>
      </c>
      <c r="P129" s="2">
        <v>12</v>
      </c>
      <c r="Q129" s="2" t="str">
        <f ca="1" t="shared" si="3"/>
        <v>/</v>
      </c>
    </row>
    <row r="130" s="1" customFormat="1" ht="14.25" spans="1:17">
      <c r="A130" s="3">
        <v>115</v>
      </c>
      <c r="B130" s="1" t="s">
        <v>409</v>
      </c>
      <c r="C130" s="1" t="s">
        <v>410</v>
      </c>
      <c r="D130" s="3" t="s">
        <v>411</v>
      </c>
      <c r="F130" s="1" t="s">
        <v>23</v>
      </c>
      <c r="G130" s="1" t="s">
        <v>23</v>
      </c>
      <c r="H130" s="1" t="s">
        <v>24</v>
      </c>
      <c r="J130" s="2" t="s">
        <v>25</v>
      </c>
      <c r="K130" s="17">
        <v>45834</v>
      </c>
      <c r="L130" s="1" t="s">
        <v>26</v>
      </c>
      <c r="N130" s="7">
        <f t="shared" si="2"/>
        <v>46198</v>
      </c>
      <c r="O130" s="1" t="s">
        <v>412</v>
      </c>
      <c r="P130" s="2">
        <v>12</v>
      </c>
      <c r="Q130" s="2">
        <f ca="1" t="shared" si="3"/>
        <v>232</v>
      </c>
    </row>
    <row r="131" spans="1:17">
      <c r="A131" s="4">
        <v>116</v>
      </c>
      <c r="B131" s="2" t="s">
        <v>413</v>
      </c>
      <c r="D131" s="5" t="s">
        <v>414</v>
      </c>
      <c r="J131" s="2" t="s">
        <v>23</v>
      </c>
      <c r="K131" s="17"/>
      <c r="L131" s="2" t="s">
        <v>42</v>
      </c>
      <c r="N131" s="7" t="str">
        <f t="shared" ref="N131:N194" si="4">IF(K131="","",EDATE(K131,P131)-1)</f>
        <v/>
      </c>
      <c r="O131" s="2" t="s">
        <v>412</v>
      </c>
      <c r="P131" s="2">
        <v>12</v>
      </c>
      <c r="Q131" s="2" t="str">
        <f ca="1" t="shared" ref="Q131:Q194" si="5">IF(OR(N131="/",N131=""),"/",N131-TODAY())</f>
        <v>/</v>
      </c>
    </row>
    <row r="132" ht="14.25" spans="1:17">
      <c r="A132" s="4">
        <v>117</v>
      </c>
      <c r="B132" s="2" t="s">
        <v>191</v>
      </c>
      <c r="C132" s="2" t="s">
        <v>192</v>
      </c>
      <c r="D132" s="5" t="s">
        <v>415</v>
      </c>
      <c r="F132" s="2" t="s">
        <v>194</v>
      </c>
      <c r="J132" s="2" t="s">
        <v>25</v>
      </c>
      <c r="K132" s="17"/>
      <c r="L132" s="2" t="s">
        <v>42</v>
      </c>
      <c r="N132" s="7" t="str">
        <f t="shared" si="4"/>
        <v/>
      </c>
      <c r="O132" s="2" t="s">
        <v>416</v>
      </c>
      <c r="P132" s="2">
        <v>12</v>
      </c>
      <c r="Q132" s="2" t="str">
        <f ca="1" t="shared" si="5"/>
        <v>/</v>
      </c>
    </row>
    <row r="133" s="1" customFormat="1" ht="14.25" spans="1:17">
      <c r="A133" s="3"/>
      <c r="D133" s="3"/>
      <c r="J133" s="2"/>
      <c r="N133" s="7" t="str">
        <f t="shared" si="4"/>
        <v/>
      </c>
      <c r="Q133" s="2" t="str">
        <f ca="1" t="shared" si="5"/>
        <v>/</v>
      </c>
    </row>
    <row r="134" spans="1:17">
      <c r="A134" s="4"/>
      <c r="D134" s="5"/>
      <c r="N134" s="7" t="str">
        <f t="shared" si="4"/>
        <v/>
      </c>
      <c r="Q134" s="2" t="str">
        <f ca="1" t="shared" si="5"/>
        <v>/</v>
      </c>
    </row>
    <row r="135" spans="1:17">
      <c r="A135" s="4"/>
      <c r="D135" s="5"/>
      <c r="N135" s="7" t="str">
        <f t="shared" si="4"/>
        <v/>
      </c>
      <c r="Q135" s="2" t="str">
        <f ca="1" t="shared" si="5"/>
        <v>/</v>
      </c>
    </row>
    <row r="136" spans="1:17">
      <c r="A136" s="4"/>
      <c r="D136" s="5"/>
      <c r="N136" s="7" t="str">
        <f t="shared" si="4"/>
        <v/>
      </c>
      <c r="Q136" s="2" t="str">
        <f ca="1" t="shared" si="5"/>
        <v>/</v>
      </c>
    </row>
    <row r="137" spans="14:17">
      <c r="N137" s="7" t="str">
        <f t="shared" si="4"/>
        <v/>
      </c>
      <c r="Q137" s="2" t="str">
        <f ca="1" t="shared" si="5"/>
        <v>/</v>
      </c>
    </row>
    <row r="138" spans="14:17">
      <c r="N138" s="7" t="str">
        <f t="shared" si="4"/>
        <v/>
      </c>
      <c r="Q138" s="2" t="str">
        <f ca="1" t="shared" si="5"/>
        <v>/</v>
      </c>
    </row>
    <row r="139" spans="14:17">
      <c r="N139" s="7" t="str">
        <f t="shared" si="4"/>
        <v/>
      </c>
      <c r="Q139" s="2" t="str">
        <f ca="1" t="shared" si="5"/>
        <v>/</v>
      </c>
    </row>
    <row r="140" spans="14:17">
      <c r="N140" s="7" t="str">
        <f t="shared" si="4"/>
        <v/>
      </c>
      <c r="Q140" s="2" t="str">
        <f ca="1" t="shared" si="5"/>
        <v>/</v>
      </c>
    </row>
    <row r="141" spans="14:17">
      <c r="N141" s="7" t="str">
        <f t="shared" si="4"/>
        <v/>
      </c>
      <c r="Q141" s="2" t="str">
        <f ca="1" t="shared" si="5"/>
        <v>/</v>
      </c>
    </row>
    <row r="142" spans="14:17">
      <c r="N142" s="7" t="str">
        <f t="shared" si="4"/>
        <v/>
      </c>
      <c r="Q142" s="2" t="str">
        <f ca="1" t="shared" si="5"/>
        <v>/</v>
      </c>
    </row>
    <row r="143" spans="14:17">
      <c r="N143" s="7" t="str">
        <f t="shared" si="4"/>
        <v/>
      </c>
      <c r="Q143" s="2" t="str">
        <f ca="1" t="shared" si="5"/>
        <v>/</v>
      </c>
    </row>
    <row r="144" spans="14:17">
      <c r="N144" s="7" t="str">
        <f t="shared" si="4"/>
        <v/>
      </c>
      <c r="Q144" s="2" t="str">
        <f ca="1" t="shared" si="5"/>
        <v>/</v>
      </c>
    </row>
    <row r="145" spans="14:17">
      <c r="N145" s="7" t="str">
        <f t="shared" si="4"/>
        <v/>
      </c>
      <c r="Q145" s="2" t="str">
        <f ca="1" t="shared" si="5"/>
        <v>/</v>
      </c>
    </row>
    <row r="146" spans="14:17">
      <c r="N146" s="7" t="str">
        <f t="shared" si="4"/>
        <v/>
      </c>
      <c r="Q146" s="2" t="str">
        <f ca="1" t="shared" si="5"/>
        <v>/</v>
      </c>
    </row>
    <row r="147" spans="14:17">
      <c r="N147" s="7" t="str">
        <f t="shared" si="4"/>
        <v/>
      </c>
      <c r="Q147" s="2" t="str">
        <f ca="1" t="shared" si="5"/>
        <v>/</v>
      </c>
    </row>
    <row r="148" spans="14:17">
      <c r="N148" s="7" t="str">
        <f t="shared" si="4"/>
        <v/>
      </c>
      <c r="Q148" s="2" t="str">
        <f ca="1" t="shared" si="5"/>
        <v>/</v>
      </c>
    </row>
    <row r="149" spans="14:17">
      <c r="N149" s="7" t="str">
        <f t="shared" si="4"/>
        <v/>
      </c>
      <c r="Q149" s="2" t="str">
        <f ca="1" t="shared" si="5"/>
        <v>/</v>
      </c>
    </row>
    <row r="150" s="10" customFormat="1" spans="4:17">
      <c r="D150" s="21"/>
      <c r="J150" s="2"/>
      <c r="N150" s="7" t="str">
        <f t="shared" si="4"/>
        <v/>
      </c>
      <c r="Q150" s="2" t="str">
        <f ca="1" t="shared" si="5"/>
        <v>/</v>
      </c>
    </row>
    <row r="151" spans="14:17">
      <c r="N151" s="7" t="str">
        <f t="shared" si="4"/>
        <v/>
      </c>
      <c r="Q151" s="2" t="str">
        <f ca="1" t="shared" si="5"/>
        <v>/</v>
      </c>
    </row>
    <row r="152" spans="14:17">
      <c r="N152" s="7" t="str">
        <f t="shared" si="4"/>
        <v/>
      </c>
      <c r="Q152" s="2" t="str">
        <f ca="1" t="shared" si="5"/>
        <v>/</v>
      </c>
    </row>
    <row r="153" spans="14:17">
      <c r="N153" s="7" t="str">
        <f t="shared" si="4"/>
        <v/>
      </c>
      <c r="Q153" s="2" t="str">
        <f ca="1" t="shared" si="5"/>
        <v>/</v>
      </c>
    </row>
    <row r="154" spans="14:17">
      <c r="N154" s="7" t="str">
        <f t="shared" si="4"/>
        <v/>
      </c>
      <c r="Q154" s="2" t="str">
        <f ca="1" t="shared" si="5"/>
        <v>/</v>
      </c>
    </row>
    <row r="155" spans="14:17">
      <c r="N155" s="7" t="str">
        <f t="shared" si="4"/>
        <v/>
      </c>
      <c r="Q155" s="2" t="str">
        <f ca="1" t="shared" si="5"/>
        <v>/</v>
      </c>
    </row>
    <row r="156" spans="14:17">
      <c r="N156" s="7" t="str">
        <f t="shared" si="4"/>
        <v/>
      </c>
      <c r="Q156" s="2" t="str">
        <f ca="1" t="shared" si="5"/>
        <v>/</v>
      </c>
    </row>
    <row r="157" spans="14:17">
      <c r="N157" s="7" t="str">
        <f t="shared" si="4"/>
        <v/>
      </c>
      <c r="Q157" s="2" t="str">
        <f ca="1" t="shared" si="5"/>
        <v>/</v>
      </c>
    </row>
    <row r="158" spans="14:17">
      <c r="N158" s="7" t="str">
        <f t="shared" si="4"/>
        <v/>
      </c>
      <c r="Q158" s="2" t="str">
        <f ca="1" t="shared" si="5"/>
        <v>/</v>
      </c>
    </row>
    <row r="159" spans="14:17">
      <c r="N159" s="7" t="str">
        <f t="shared" si="4"/>
        <v/>
      </c>
      <c r="Q159" s="2" t="str">
        <f ca="1" t="shared" si="5"/>
        <v>/</v>
      </c>
    </row>
    <row r="160" spans="14:17">
      <c r="N160" s="7" t="str">
        <f t="shared" si="4"/>
        <v/>
      </c>
      <c r="Q160" s="2" t="str">
        <f ca="1" t="shared" si="5"/>
        <v>/</v>
      </c>
    </row>
    <row r="161" spans="14:17">
      <c r="N161" s="7" t="str">
        <f t="shared" si="4"/>
        <v/>
      </c>
      <c r="Q161" s="2" t="str">
        <f ca="1" t="shared" si="5"/>
        <v>/</v>
      </c>
    </row>
    <row r="162" spans="14:17">
      <c r="N162" s="7" t="str">
        <f t="shared" si="4"/>
        <v/>
      </c>
      <c r="Q162" s="2" t="str">
        <f ca="1" t="shared" si="5"/>
        <v>/</v>
      </c>
    </row>
    <row r="163" spans="14:17">
      <c r="N163" s="7" t="str">
        <f t="shared" si="4"/>
        <v/>
      </c>
      <c r="Q163" s="2" t="str">
        <f ca="1" t="shared" si="5"/>
        <v>/</v>
      </c>
    </row>
    <row r="164" spans="14:17">
      <c r="N164" s="7" t="str">
        <f t="shared" si="4"/>
        <v/>
      </c>
      <c r="Q164" s="2" t="str">
        <f ca="1" t="shared" si="5"/>
        <v>/</v>
      </c>
    </row>
    <row r="165" spans="14:17">
      <c r="N165" s="7" t="str">
        <f t="shared" si="4"/>
        <v/>
      </c>
      <c r="Q165" s="2" t="str">
        <f ca="1" t="shared" si="5"/>
        <v>/</v>
      </c>
    </row>
    <row r="166" spans="14:17">
      <c r="N166" s="7" t="str">
        <f t="shared" si="4"/>
        <v/>
      </c>
      <c r="Q166" s="2" t="str">
        <f ca="1" t="shared" si="5"/>
        <v>/</v>
      </c>
    </row>
    <row r="167" spans="14:17">
      <c r="N167" s="7" t="str">
        <f t="shared" si="4"/>
        <v/>
      </c>
      <c r="Q167" s="2" t="str">
        <f ca="1" t="shared" si="5"/>
        <v>/</v>
      </c>
    </row>
    <row r="168" spans="14:17">
      <c r="N168" s="7" t="str">
        <f t="shared" si="4"/>
        <v/>
      </c>
      <c r="Q168" s="2" t="str">
        <f ca="1" t="shared" si="5"/>
        <v>/</v>
      </c>
    </row>
    <row r="169" spans="14:17">
      <c r="N169" s="7" t="str">
        <f t="shared" si="4"/>
        <v/>
      </c>
      <c r="Q169" s="2" t="str">
        <f ca="1" t="shared" si="5"/>
        <v>/</v>
      </c>
    </row>
    <row r="170" spans="14:17">
      <c r="N170" s="7" t="str">
        <f t="shared" si="4"/>
        <v/>
      </c>
      <c r="Q170" s="2" t="str">
        <f ca="1" t="shared" si="5"/>
        <v>/</v>
      </c>
    </row>
    <row r="171" spans="14:17">
      <c r="N171" s="7" t="str">
        <f t="shared" si="4"/>
        <v/>
      </c>
      <c r="Q171" s="2" t="str">
        <f ca="1" t="shared" si="5"/>
        <v>/</v>
      </c>
    </row>
    <row r="172" spans="14:17">
      <c r="N172" s="7" t="str">
        <f t="shared" si="4"/>
        <v/>
      </c>
      <c r="Q172" s="2" t="str">
        <f ca="1" t="shared" si="5"/>
        <v>/</v>
      </c>
    </row>
    <row r="173" spans="14:17">
      <c r="N173" s="7" t="str">
        <f t="shared" si="4"/>
        <v/>
      </c>
      <c r="Q173" s="2" t="str">
        <f ca="1" t="shared" si="5"/>
        <v>/</v>
      </c>
    </row>
    <row r="174" spans="14:17">
      <c r="N174" s="7" t="str">
        <f t="shared" si="4"/>
        <v/>
      </c>
      <c r="Q174" s="2" t="str">
        <f ca="1" t="shared" si="5"/>
        <v>/</v>
      </c>
    </row>
    <row r="175" spans="14:17">
      <c r="N175" s="7" t="str">
        <f t="shared" si="4"/>
        <v/>
      </c>
      <c r="Q175" s="2" t="str">
        <f ca="1" t="shared" si="5"/>
        <v>/</v>
      </c>
    </row>
    <row r="176" spans="14:17">
      <c r="N176" s="7" t="str">
        <f t="shared" si="4"/>
        <v/>
      </c>
      <c r="Q176" s="2" t="str">
        <f ca="1" t="shared" si="5"/>
        <v>/</v>
      </c>
    </row>
    <row r="177" spans="14:17">
      <c r="N177" s="7" t="str">
        <f t="shared" si="4"/>
        <v/>
      </c>
      <c r="Q177" s="2" t="str">
        <f ca="1" t="shared" si="5"/>
        <v>/</v>
      </c>
    </row>
    <row r="178" spans="14:17">
      <c r="N178" s="7" t="str">
        <f t="shared" si="4"/>
        <v/>
      </c>
      <c r="Q178" s="2" t="str">
        <f ca="1" t="shared" si="5"/>
        <v>/</v>
      </c>
    </row>
    <row r="179" spans="14:17">
      <c r="N179" s="7" t="str">
        <f t="shared" si="4"/>
        <v/>
      </c>
      <c r="Q179" s="2" t="str">
        <f ca="1" t="shared" si="5"/>
        <v>/</v>
      </c>
    </row>
    <row r="180" spans="14:17">
      <c r="N180" s="7" t="str">
        <f t="shared" si="4"/>
        <v/>
      </c>
      <c r="Q180" s="2" t="str">
        <f ca="1" t="shared" si="5"/>
        <v>/</v>
      </c>
    </row>
    <row r="181" spans="14:17">
      <c r="N181" s="7" t="str">
        <f t="shared" si="4"/>
        <v/>
      </c>
      <c r="Q181" s="2" t="str">
        <f ca="1" t="shared" si="5"/>
        <v>/</v>
      </c>
    </row>
    <row r="182" spans="14:17">
      <c r="N182" s="7" t="str">
        <f t="shared" si="4"/>
        <v/>
      </c>
      <c r="Q182" s="2" t="str">
        <f ca="1" t="shared" si="5"/>
        <v>/</v>
      </c>
    </row>
    <row r="183" spans="14:17">
      <c r="N183" s="7" t="str">
        <f t="shared" si="4"/>
        <v/>
      </c>
      <c r="Q183" s="2" t="str">
        <f ca="1" t="shared" si="5"/>
        <v>/</v>
      </c>
    </row>
    <row r="184" spans="14:17">
      <c r="N184" s="7" t="str">
        <f t="shared" si="4"/>
        <v/>
      </c>
      <c r="Q184" s="2" t="str">
        <f ca="1" t="shared" si="5"/>
        <v>/</v>
      </c>
    </row>
    <row r="185" spans="14:17">
      <c r="N185" s="7" t="str">
        <f t="shared" si="4"/>
        <v/>
      </c>
      <c r="Q185" s="2" t="str">
        <f ca="1" t="shared" si="5"/>
        <v>/</v>
      </c>
    </row>
    <row r="186" spans="14:17">
      <c r="N186" s="7" t="str">
        <f t="shared" si="4"/>
        <v/>
      </c>
      <c r="Q186" s="2" t="str">
        <f ca="1" t="shared" si="5"/>
        <v>/</v>
      </c>
    </row>
    <row r="187" spans="14:17">
      <c r="N187" s="7" t="str">
        <f t="shared" si="4"/>
        <v/>
      </c>
      <c r="Q187" s="2" t="str">
        <f ca="1" t="shared" si="5"/>
        <v>/</v>
      </c>
    </row>
    <row r="188" spans="14:17">
      <c r="N188" s="7" t="str">
        <f t="shared" si="4"/>
        <v/>
      </c>
      <c r="Q188" s="2" t="str">
        <f ca="1" t="shared" si="5"/>
        <v>/</v>
      </c>
    </row>
    <row r="189" spans="14:17">
      <c r="N189" s="7" t="str">
        <f t="shared" si="4"/>
        <v/>
      </c>
      <c r="Q189" s="2" t="str">
        <f ca="1" t="shared" si="5"/>
        <v>/</v>
      </c>
    </row>
    <row r="190" spans="14:17">
      <c r="N190" s="7" t="str">
        <f t="shared" si="4"/>
        <v/>
      </c>
      <c r="Q190" s="2" t="str">
        <f ca="1" t="shared" si="5"/>
        <v>/</v>
      </c>
    </row>
    <row r="191" spans="14:17">
      <c r="N191" s="7" t="str">
        <f t="shared" si="4"/>
        <v/>
      </c>
      <c r="Q191" s="2" t="str">
        <f ca="1" t="shared" si="5"/>
        <v>/</v>
      </c>
    </row>
    <row r="192" spans="14:17">
      <c r="N192" s="7" t="str">
        <f t="shared" si="4"/>
        <v/>
      </c>
      <c r="Q192" s="2" t="str">
        <f ca="1" t="shared" si="5"/>
        <v>/</v>
      </c>
    </row>
    <row r="193" spans="14:17">
      <c r="N193" s="7" t="str">
        <f t="shared" si="4"/>
        <v/>
      </c>
      <c r="Q193" s="2" t="str">
        <f ca="1" t="shared" si="5"/>
        <v>/</v>
      </c>
    </row>
    <row r="194" spans="14:17">
      <c r="N194" s="7" t="str">
        <f t="shared" si="4"/>
        <v/>
      </c>
      <c r="Q194" s="2" t="str">
        <f ca="1" t="shared" si="5"/>
        <v>/</v>
      </c>
    </row>
    <row r="195" spans="14:17">
      <c r="N195" s="7" t="str">
        <f t="shared" ref="N195:N223" si="6">IF(K195="","",EDATE(K195,P195)-1)</f>
        <v/>
      </c>
      <c r="Q195" s="2" t="str">
        <f ca="1" t="shared" ref="Q195:Q223" si="7">IF(OR(N195="/",N195=""),"/",N195-TODAY())</f>
        <v>/</v>
      </c>
    </row>
    <row r="196" spans="14:17">
      <c r="N196" s="7" t="str">
        <f t="shared" si="6"/>
        <v/>
      </c>
      <c r="Q196" s="2" t="str">
        <f ca="1" t="shared" si="7"/>
        <v>/</v>
      </c>
    </row>
    <row r="197" spans="14:17">
      <c r="N197" s="7" t="str">
        <f t="shared" si="6"/>
        <v/>
      </c>
      <c r="Q197" s="2" t="str">
        <f ca="1" t="shared" si="7"/>
        <v>/</v>
      </c>
    </row>
    <row r="198" spans="14:17">
      <c r="N198" s="7" t="str">
        <f t="shared" si="6"/>
        <v/>
      </c>
      <c r="Q198" s="2" t="str">
        <f ca="1" t="shared" si="7"/>
        <v>/</v>
      </c>
    </row>
    <row r="199" spans="14:17">
      <c r="N199" s="7" t="str">
        <f t="shared" si="6"/>
        <v/>
      </c>
      <c r="Q199" s="2" t="str">
        <f ca="1" t="shared" si="7"/>
        <v>/</v>
      </c>
    </row>
    <row r="200" spans="14:17">
      <c r="N200" s="7" t="str">
        <f t="shared" si="6"/>
        <v/>
      </c>
      <c r="Q200" s="2" t="str">
        <f ca="1" t="shared" si="7"/>
        <v>/</v>
      </c>
    </row>
    <row r="201" spans="14:17">
      <c r="N201" s="7" t="str">
        <f t="shared" si="6"/>
        <v/>
      </c>
      <c r="Q201" s="2" t="str">
        <f ca="1" t="shared" si="7"/>
        <v>/</v>
      </c>
    </row>
    <row r="202" s="10" customFormat="1" spans="4:17">
      <c r="D202" s="21"/>
      <c r="J202" s="2"/>
      <c r="N202" s="7" t="str">
        <f t="shared" si="6"/>
        <v/>
      </c>
      <c r="Q202" s="2" t="str">
        <f ca="1" t="shared" si="7"/>
        <v>/</v>
      </c>
    </row>
    <row r="203" spans="14:17">
      <c r="N203" s="7" t="str">
        <f t="shared" si="6"/>
        <v/>
      </c>
      <c r="Q203" s="2" t="str">
        <f ca="1" t="shared" si="7"/>
        <v>/</v>
      </c>
    </row>
    <row r="204" spans="14:17">
      <c r="N204" s="7" t="str">
        <f t="shared" si="6"/>
        <v/>
      </c>
      <c r="Q204" s="2" t="str">
        <f ca="1" t="shared" si="7"/>
        <v>/</v>
      </c>
    </row>
    <row r="205" spans="14:17">
      <c r="N205" s="7" t="str">
        <f t="shared" si="6"/>
        <v/>
      </c>
      <c r="Q205" s="2" t="str">
        <f ca="1" t="shared" si="7"/>
        <v>/</v>
      </c>
    </row>
    <row r="206" spans="14:17">
      <c r="N206" s="7" t="str">
        <f t="shared" si="6"/>
        <v/>
      </c>
      <c r="Q206" s="2" t="str">
        <f ca="1" t="shared" si="7"/>
        <v>/</v>
      </c>
    </row>
    <row r="207" spans="14:17">
      <c r="N207" s="7" t="str">
        <f t="shared" si="6"/>
        <v/>
      </c>
      <c r="Q207" s="2" t="str">
        <f ca="1" t="shared" si="7"/>
        <v>/</v>
      </c>
    </row>
    <row r="208" spans="14:17">
      <c r="N208" s="7" t="str">
        <f t="shared" si="6"/>
        <v/>
      </c>
      <c r="Q208" s="2" t="str">
        <f ca="1" t="shared" si="7"/>
        <v>/</v>
      </c>
    </row>
    <row r="209" spans="14:17">
      <c r="N209" s="7" t="str">
        <f t="shared" si="6"/>
        <v/>
      </c>
      <c r="Q209" s="2" t="str">
        <f ca="1" t="shared" si="7"/>
        <v>/</v>
      </c>
    </row>
    <row r="210" spans="14:17">
      <c r="N210" s="7" t="str">
        <f t="shared" si="6"/>
        <v/>
      </c>
      <c r="Q210" s="2" t="str">
        <f ca="1" t="shared" si="7"/>
        <v>/</v>
      </c>
    </row>
    <row r="211" spans="14:17">
      <c r="N211" s="7" t="str">
        <f t="shared" si="6"/>
        <v/>
      </c>
      <c r="Q211" s="2" t="str">
        <f ca="1" t="shared" si="7"/>
        <v>/</v>
      </c>
    </row>
    <row r="212" spans="14:17">
      <c r="N212" s="7" t="str">
        <f t="shared" si="6"/>
        <v/>
      </c>
      <c r="Q212" s="2" t="str">
        <f ca="1" t="shared" si="7"/>
        <v>/</v>
      </c>
    </row>
    <row r="213" spans="14:17">
      <c r="N213" s="7" t="str">
        <f t="shared" si="6"/>
        <v/>
      </c>
      <c r="Q213" s="2" t="str">
        <f ca="1" t="shared" si="7"/>
        <v>/</v>
      </c>
    </row>
    <row r="214" spans="14:17">
      <c r="N214" s="7" t="str">
        <f t="shared" si="6"/>
        <v/>
      </c>
      <c r="Q214" s="2" t="str">
        <f ca="1" t="shared" si="7"/>
        <v>/</v>
      </c>
    </row>
    <row r="215" spans="14:17">
      <c r="N215" s="7" t="str">
        <f t="shared" si="6"/>
        <v/>
      </c>
      <c r="Q215" s="2" t="str">
        <f ca="1" t="shared" si="7"/>
        <v>/</v>
      </c>
    </row>
    <row r="216" spans="14:17">
      <c r="N216" s="7" t="str">
        <f t="shared" si="6"/>
        <v/>
      </c>
      <c r="Q216" s="2" t="str">
        <f ca="1" t="shared" si="7"/>
        <v>/</v>
      </c>
    </row>
    <row r="217" spans="14:17">
      <c r="N217" s="7" t="str">
        <f t="shared" si="6"/>
        <v/>
      </c>
      <c r="Q217" s="2" t="str">
        <f ca="1" t="shared" si="7"/>
        <v>/</v>
      </c>
    </row>
    <row r="218" spans="14:17">
      <c r="N218" s="7" t="str">
        <f t="shared" si="6"/>
        <v/>
      </c>
      <c r="Q218" s="2" t="str">
        <f ca="1" t="shared" si="7"/>
        <v>/</v>
      </c>
    </row>
    <row r="219" spans="14:17">
      <c r="N219" s="7" t="str">
        <f t="shared" si="6"/>
        <v/>
      </c>
      <c r="Q219" s="2" t="str">
        <f ca="1" t="shared" si="7"/>
        <v>/</v>
      </c>
    </row>
    <row r="220" spans="14:17">
      <c r="N220" s="7" t="str">
        <f t="shared" si="6"/>
        <v/>
      </c>
      <c r="Q220" s="2" t="str">
        <f ca="1" t="shared" si="7"/>
        <v>/</v>
      </c>
    </row>
    <row r="221" spans="14:17">
      <c r="N221" s="7" t="str">
        <f t="shared" si="6"/>
        <v/>
      </c>
      <c r="Q221" s="2" t="str">
        <f ca="1" t="shared" si="7"/>
        <v>/</v>
      </c>
    </row>
    <row r="222" spans="14:17">
      <c r="N222" s="7" t="str">
        <f t="shared" si="6"/>
        <v/>
      </c>
      <c r="Q222" s="2" t="str">
        <f ca="1" t="shared" si="7"/>
        <v>/</v>
      </c>
    </row>
    <row r="223" spans="14:17">
      <c r="N223" s="7" t="str">
        <f t="shared" si="6"/>
        <v/>
      </c>
      <c r="Q223" s="2" t="str">
        <f ca="1" t="shared" si="7"/>
        <v>/</v>
      </c>
    </row>
  </sheetData>
  <autoFilter xmlns:etc="http://www.wps.cn/officeDocument/2017/etCustomData" ref="A1:R223" etc:filterBottomFollowUsedRange="0">
    <extLst/>
  </autoFilter>
  <conditionalFormatting sqref="D$1:D$1048576">
    <cfRule type="duplicateValues" dxfId="0" priority="1"/>
  </conditionalFormatting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N4"/>
  <sheetViews>
    <sheetView workbookViewId="0">
      <selection activeCell="D1" sqref="D1:D5"/>
    </sheetView>
  </sheetViews>
  <sheetFormatPr defaultColWidth="8.89166666666667" defaultRowHeight="13.5" outlineLevelRow="3"/>
  <cols>
    <col min="1" max="1" width="4.10833333333333" customWidth="1"/>
    <col min="2" max="2" width="11.8916666666667" customWidth="1"/>
    <col min="3" max="3" width="7.66666666666667" customWidth="1"/>
    <col min="4" max="4" width="2.33333333333333" customWidth="1"/>
    <col min="6" max="6" width="4.66666666666667" customWidth="1"/>
    <col min="12" max="12" width="1.66666666666667" customWidth="1"/>
  </cols>
  <sheetData>
    <row r="1" s="1" customFormat="1" ht="14.25" spans="1:14">
      <c r="A1" s="3">
        <v>123</v>
      </c>
      <c r="B1" s="1" t="s">
        <v>191</v>
      </c>
      <c r="C1" s="1" t="s">
        <v>417</v>
      </c>
      <c r="D1" s="3"/>
      <c r="E1" s="1" t="s">
        <v>415</v>
      </c>
      <c r="F1" s="1" t="s">
        <v>118</v>
      </c>
      <c r="L1" s="1" t="str">
        <f>IF(R1="","","广东中诚计量检测有限公司")</f>
        <v/>
      </c>
      <c r="N1" s="6"/>
    </row>
    <row r="2" s="2" customFormat="1" spans="1:14">
      <c r="A2" s="4">
        <v>124</v>
      </c>
      <c r="B2" s="2" t="s">
        <v>418</v>
      </c>
      <c r="C2" s="2" t="s">
        <v>419</v>
      </c>
      <c r="D2" s="5"/>
      <c r="F2" s="2" t="s">
        <v>420</v>
      </c>
      <c r="L2" s="2" t="str">
        <f>IF(R2="","","广东中诚计量检测有限公司")</f>
        <v/>
      </c>
      <c r="N2" s="7"/>
    </row>
    <row r="3" s="2" customFormat="1" spans="1:14">
      <c r="A3" s="4">
        <v>125</v>
      </c>
      <c r="B3" s="2" t="s">
        <v>421</v>
      </c>
      <c r="C3" s="2" t="s">
        <v>417</v>
      </c>
      <c r="D3" s="5"/>
      <c r="F3" s="2" t="s">
        <v>118</v>
      </c>
      <c r="L3" s="2" t="str">
        <f>IF(R3="","","广东中诚计量检测有限公司")</f>
        <v/>
      </c>
      <c r="N3" s="7"/>
    </row>
    <row r="4" s="2" customFormat="1" spans="1:14">
      <c r="A4" s="4">
        <v>126</v>
      </c>
      <c r="B4" s="2" t="s">
        <v>421</v>
      </c>
      <c r="C4" s="2" t="s">
        <v>419</v>
      </c>
      <c r="D4" s="5"/>
      <c r="F4" s="2" t="s">
        <v>420</v>
      </c>
      <c r="L4" s="2" t="str">
        <f>IF(R4="","","广东中诚计量检测有限公司")</f>
        <v/>
      </c>
      <c r="N4" s="7"/>
    </row>
  </sheetData>
  <conditionalFormatting sqref="D1:D4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内检</vt:lpstr>
      <vt:lpstr>HY(N)YQ-14-0001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</dc:creator>
  <cp:lastModifiedBy>A</cp:lastModifiedBy>
  <dcterms:created xsi:type="dcterms:W3CDTF">2025-10-30T05:49:00Z</dcterms:created>
  <dcterms:modified xsi:type="dcterms:W3CDTF">2025-11-05T03:48:58Z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B11C84A9EECC46D68805A61A272EB552_13</vt:lpwstr>
  </property>
  <property fmtid="{D5CDD505-2E9C-101B-9397-08002B2CF9AE}" pid="3" name="KSOProductBuildVer">
    <vt:lpwstr>2052-12.8.2.18205</vt:lpwstr>
  </property>
  <property fmtid="{D5CDD505-2E9C-101B-9397-08002B2CF9AE}" pid="4" name="KSOReadingLayout">
    <vt:bool>true</vt:bool>
  </property>
</Properties>
</file>